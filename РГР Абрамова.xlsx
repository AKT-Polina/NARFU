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 activeTab="2"/>
  </bookViews>
  <sheets>
    <sheet name="в6" sheetId="1" r:id="rId1"/>
    <sheet name="Лист6" sheetId="2" r:id="rId2"/>
    <sheet name="в7" sheetId="3" r:id="rId3"/>
    <sheet name="Лист3" sheetId="4" r:id="rId4"/>
  </sheets>
  <definedNames>
    <definedName name="Excel_BuiltIn__FilterDatabase" localSheetId="0">в6!$B$2:$C$101</definedName>
    <definedName name="Excel_BuiltIn__FilterDatabase" localSheetId="2">в7!$A$2:$B$101</definedName>
    <definedName name="_xlnm.Print_Area" localSheetId="0">в6!$G$62:$T$102</definedName>
    <definedName name="_xlnm.Print_Area" localSheetId="2">в7!$F$62:$S$102</definedName>
  </definedNames>
  <calcPr calcId="145621" iterateDelta="1E-4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N58" i="3" l="1"/>
  <c r="J54" i="3"/>
  <c r="K54" i="3"/>
  <c r="L54" i="3" s="1"/>
  <c r="O54" i="3" s="1"/>
  <c r="J55" i="3"/>
  <c r="M55" i="3" s="1"/>
  <c r="N55" i="3" s="1"/>
  <c r="K55" i="3"/>
  <c r="L55" i="3"/>
  <c r="L120" i="3"/>
  <c r="L121" i="3" s="1"/>
  <c r="L122" i="3" s="1"/>
  <c r="K120" i="3"/>
  <c r="K121" i="3" s="1"/>
  <c r="K122" i="3" s="1"/>
  <c r="J120" i="3"/>
  <c r="J121" i="3" s="1"/>
  <c r="J122" i="3" s="1"/>
  <c r="I120" i="3"/>
  <c r="L118" i="3"/>
  <c r="K118" i="3"/>
  <c r="AE83" i="3"/>
  <c r="AH82" i="3"/>
  <c r="AE82" i="3"/>
  <c r="Q75" i="3"/>
  <c r="P75" i="3"/>
  <c r="O75" i="3"/>
  <c r="N75" i="3"/>
  <c r="M75" i="3"/>
  <c r="L75" i="3"/>
  <c r="K75" i="3"/>
  <c r="J75" i="3"/>
  <c r="S78" i="3" s="1"/>
  <c r="F73" i="3"/>
  <c r="T73" i="3" s="1"/>
  <c r="F72" i="3"/>
  <c r="T72" i="3" s="1"/>
  <c r="T71" i="3"/>
  <c r="F71" i="3"/>
  <c r="F70" i="3"/>
  <c r="T70" i="3" s="1"/>
  <c r="F69" i="3"/>
  <c r="T69" i="3" s="1"/>
  <c r="F68" i="3"/>
  <c r="T68" i="3" s="1"/>
  <c r="T67" i="3"/>
  <c r="F67" i="3"/>
  <c r="G66" i="3"/>
  <c r="F66" i="3"/>
  <c r="T66" i="3" s="1"/>
  <c r="I65" i="3"/>
  <c r="H63" i="3"/>
  <c r="G63" i="3"/>
  <c r="O62" i="3" s="1"/>
  <c r="J65" i="3" s="1"/>
  <c r="F63" i="3"/>
  <c r="N62" i="3"/>
  <c r="K62" i="3"/>
  <c r="J62" i="3"/>
  <c r="H62" i="3"/>
  <c r="I51" i="3"/>
  <c r="L32" i="3"/>
  <c r="I14" i="3"/>
  <c r="L13" i="3"/>
  <c r="I13" i="3"/>
  <c r="I54" i="3" s="1"/>
  <c r="L12" i="3"/>
  <c r="I12" i="3"/>
  <c r="I11" i="3"/>
  <c r="L10" i="3"/>
  <c r="I10" i="3"/>
  <c r="I9" i="3"/>
  <c r="L8" i="3"/>
  <c r="O38" i="3" s="1"/>
  <c r="I8" i="3"/>
  <c r="I7" i="3"/>
  <c r="I48" i="3" s="1"/>
  <c r="S66" i="3" s="1"/>
  <c r="H7" i="3"/>
  <c r="G7" i="3"/>
  <c r="G37" i="3" s="1"/>
  <c r="G48" i="3" s="1"/>
  <c r="G3" i="3"/>
  <c r="L62" i="3" s="1"/>
  <c r="I1" i="3"/>
  <c r="G2" i="3" s="1"/>
  <c r="G4" i="3" s="1"/>
  <c r="H37" i="3" s="1"/>
  <c r="G1" i="3"/>
  <c r="K121" i="1"/>
  <c r="K122" i="1" s="1"/>
  <c r="M120" i="1"/>
  <c r="L120" i="1"/>
  <c r="K120" i="1"/>
  <c r="J120" i="1"/>
  <c r="M118" i="1"/>
  <c r="L118" i="1"/>
  <c r="S76" i="1"/>
  <c r="R75" i="1"/>
  <c r="Q75" i="1"/>
  <c r="P75" i="1"/>
  <c r="O75" i="1"/>
  <c r="N75" i="1"/>
  <c r="M75" i="1"/>
  <c r="L75" i="1"/>
  <c r="K75" i="1"/>
  <c r="T78" i="1" s="1"/>
  <c r="S73" i="1"/>
  <c r="R73" i="1"/>
  <c r="G73" i="1"/>
  <c r="U73" i="1" s="1"/>
  <c r="K72" i="1"/>
  <c r="G72" i="1"/>
  <c r="U72" i="1" s="1"/>
  <c r="U71" i="1"/>
  <c r="L71" i="1"/>
  <c r="M71" i="1" s="1"/>
  <c r="M83" i="1" s="1"/>
  <c r="K71" i="1"/>
  <c r="G71" i="1"/>
  <c r="K70" i="1"/>
  <c r="L70" i="1" s="1"/>
  <c r="G70" i="1"/>
  <c r="U70" i="1" s="1"/>
  <c r="L69" i="1"/>
  <c r="K69" i="1"/>
  <c r="G69" i="1"/>
  <c r="U69" i="1" s="1"/>
  <c r="K68" i="1"/>
  <c r="G68" i="1"/>
  <c r="U68" i="1" s="1"/>
  <c r="U67" i="1"/>
  <c r="L67" i="1"/>
  <c r="M67" i="1" s="1"/>
  <c r="M79" i="1" s="1"/>
  <c r="K67" i="1"/>
  <c r="G67" i="1"/>
  <c r="T66" i="1"/>
  <c r="K66" i="1"/>
  <c r="G66" i="1"/>
  <c r="U66" i="1" s="1"/>
  <c r="J65" i="1"/>
  <c r="I63" i="1"/>
  <c r="H63" i="1"/>
  <c r="P62" i="1" s="1"/>
  <c r="K65" i="1" s="1"/>
  <c r="G63" i="1"/>
  <c r="O62" i="1"/>
  <c r="M62" i="1"/>
  <c r="L62" i="1"/>
  <c r="K62" i="1"/>
  <c r="I62" i="1"/>
  <c r="J48" i="1"/>
  <c r="K48" i="1" s="1"/>
  <c r="L44" i="1"/>
  <c r="N44" i="1" s="1"/>
  <c r="O44" i="1" s="1"/>
  <c r="L55" i="1" s="1"/>
  <c r="L43" i="1"/>
  <c r="N43" i="1" s="1"/>
  <c r="L42" i="1"/>
  <c r="N42" i="1" s="1"/>
  <c r="O42" i="1" s="1"/>
  <c r="L53" i="1" s="1"/>
  <c r="L41" i="1"/>
  <c r="N41" i="1" s="1"/>
  <c r="L40" i="1"/>
  <c r="N40" i="1" s="1"/>
  <c r="O40" i="1" s="1"/>
  <c r="L51" i="1" s="1"/>
  <c r="M51" i="1" s="1"/>
  <c r="L39" i="1"/>
  <c r="N39" i="1" s="1"/>
  <c r="L38" i="1"/>
  <c r="N38" i="1" s="1"/>
  <c r="O38" i="1" s="1"/>
  <c r="L49" i="1" s="1"/>
  <c r="M49" i="1" s="1"/>
  <c r="P37" i="1"/>
  <c r="N37" i="1"/>
  <c r="I19" i="1"/>
  <c r="M7" i="1"/>
  <c r="K7" i="1"/>
  <c r="N7" i="1" s="1"/>
  <c r="J7" i="1"/>
  <c r="H3" i="1"/>
  <c r="J1" i="1"/>
  <c r="H1" i="1"/>
  <c r="H7" i="1" s="1"/>
  <c r="M54" i="3" l="1"/>
  <c r="N54" i="3" s="1"/>
  <c r="O55" i="3"/>
  <c r="H48" i="3"/>
  <c r="G38" i="3"/>
  <c r="L65" i="1"/>
  <c r="L77" i="1" s="1"/>
  <c r="J98" i="1" s="1"/>
  <c r="H66" i="1"/>
  <c r="H37" i="1"/>
  <c r="O39" i="1"/>
  <c r="L50" i="1" s="1"/>
  <c r="M50" i="1" s="1"/>
  <c r="M53" i="1"/>
  <c r="O43" i="1"/>
  <c r="L54" i="1" s="1"/>
  <c r="L82" i="1"/>
  <c r="M70" i="1"/>
  <c r="N67" i="1"/>
  <c r="K80" i="1"/>
  <c r="L68" i="1"/>
  <c r="L81" i="1"/>
  <c r="M69" i="1"/>
  <c r="H66" i="3"/>
  <c r="G8" i="3"/>
  <c r="K7" i="3"/>
  <c r="G19" i="3" s="1"/>
  <c r="O42" i="3"/>
  <c r="H24" i="3"/>
  <c r="N12" i="3"/>
  <c r="L14" i="3"/>
  <c r="I55" i="3"/>
  <c r="S73" i="3" s="1"/>
  <c r="K74" i="1"/>
  <c r="K78" i="1"/>
  <c r="L66" i="1"/>
  <c r="N85" i="1"/>
  <c r="Q78" i="1"/>
  <c r="O85" i="1"/>
  <c r="K79" i="1"/>
  <c r="P78" i="1"/>
  <c r="M85" i="1"/>
  <c r="K81" i="1"/>
  <c r="Q85" i="1"/>
  <c r="L85" i="1"/>
  <c r="K83" i="1"/>
  <c r="R78" i="1"/>
  <c r="K85" i="1"/>
  <c r="J51" i="3"/>
  <c r="S69" i="3"/>
  <c r="J73" i="3"/>
  <c r="J72" i="3"/>
  <c r="J71" i="3"/>
  <c r="J67" i="3"/>
  <c r="J69" i="3"/>
  <c r="K65" i="3"/>
  <c r="J70" i="3"/>
  <c r="J68" i="3"/>
  <c r="J66" i="3"/>
  <c r="I78" i="3"/>
  <c r="O41" i="1"/>
  <c r="L52" i="1" s="1"/>
  <c r="M52" i="1" s="1"/>
  <c r="H2" i="1"/>
  <c r="H4" i="1" s="1"/>
  <c r="O7" i="1" s="1"/>
  <c r="N45" i="1"/>
  <c r="N71" i="1"/>
  <c r="L72" i="1"/>
  <c r="K84" i="1"/>
  <c r="L79" i="1"/>
  <c r="P85" i="1"/>
  <c r="L121" i="1"/>
  <c r="L122" i="1" s="1"/>
  <c r="I50" i="3"/>
  <c r="H22" i="3"/>
  <c r="O40" i="3"/>
  <c r="N10" i="3"/>
  <c r="O43" i="3"/>
  <c r="H25" i="3"/>
  <c r="K82" i="1"/>
  <c r="N13" i="3"/>
  <c r="I15" i="3"/>
  <c r="J7" i="3"/>
  <c r="M7" i="3" s="1"/>
  <c r="H20" i="3"/>
  <c r="N8" i="3"/>
  <c r="I52" i="3"/>
  <c r="L83" i="1"/>
  <c r="M121" i="1"/>
  <c r="M122" i="1" s="1"/>
  <c r="J8" i="1"/>
  <c r="O37" i="1"/>
  <c r="K77" i="1"/>
  <c r="I98" i="1" s="1"/>
  <c r="R85" i="1"/>
  <c r="J125" i="1"/>
  <c r="K125" i="1" s="1"/>
  <c r="L125" i="1" s="1"/>
  <c r="M125" i="1" s="1"/>
  <c r="J121" i="1"/>
  <c r="O120" i="1"/>
  <c r="L7" i="3"/>
  <c r="I49" i="3"/>
  <c r="J8" i="3"/>
  <c r="M8" i="3" s="1"/>
  <c r="L9" i="3"/>
  <c r="L11" i="3"/>
  <c r="I53" i="3"/>
  <c r="S72" i="3"/>
  <c r="J77" i="3"/>
  <c r="H98" i="3" s="1"/>
  <c r="J63" i="3"/>
  <c r="I121" i="3"/>
  <c r="I125" i="3"/>
  <c r="J125" i="3" s="1"/>
  <c r="K125" i="3" s="1"/>
  <c r="L125" i="3" s="1"/>
  <c r="N120" i="3"/>
  <c r="J9" i="1" l="1"/>
  <c r="M8" i="1"/>
  <c r="J49" i="1"/>
  <c r="K8" i="1"/>
  <c r="N8" i="1" s="1"/>
  <c r="S70" i="3"/>
  <c r="J52" i="3"/>
  <c r="J74" i="3"/>
  <c r="L77" i="3"/>
  <c r="J98" i="3" s="1"/>
  <c r="K73" i="3"/>
  <c r="K85" i="3" s="1"/>
  <c r="L65" i="3"/>
  <c r="K72" i="3"/>
  <c r="K84" i="3" s="1"/>
  <c r="K70" i="3"/>
  <c r="K68" i="3"/>
  <c r="K66" i="3"/>
  <c r="K67" i="3"/>
  <c r="L63" i="3"/>
  <c r="K69" i="3"/>
  <c r="K71" i="3"/>
  <c r="K83" i="3" s="1"/>
  <c r="H23" i="3"/>
  <c r="N11" i="3"/>
  <c r="O41" i="3"/>
  <c r="S67" i="3"/>
  <c r="S74" i="3" s="1"/>
  <c r="J49" i="3"/>
  <c r="O45" i="1"/>
  <c r="L48" i="1"/>
  <c r="J9" i="3"/>
  <c r="L84" i="1"/>
  <c r="M72" i="1"/>
  <c r="J81" i="3"/>
  <c r="J84" i="3"/>
  <c r="K86" i="1"/>
  <c r="I99" i="1" s="1"/>
  <c r="I100" i="1" s="1"/>
  <c r="H8" i="3"/>
  <c r="G67" i="3"/>
  <c r="K8" i="3"/>
  <c r="G20" i="3" s="1"/>
  <c r="L80" i="1"/>
  <c r="M68" i="1"/>
  <c r="H48" i="1"/>
  <c r="I37" i="1"/>
  <c r="H19" i="3"/>
  <c r="O37" i="3"/>
  <c r="L15" i="3"/>
  <c r="N7" i="3"/>
  <c r="S68" i="3"/>
  <c r="J50" i="3"/>
  <c r="J82" i="3"/>
  <c r="K77" i="3"/>
  <c r="I98" i="3" s="1"/>
  <c r="J85" i="3"/>
  <c r="M82" i="1"/>
  <c r="N70" i="1"/>
  <c r="G49" i="3"/>
  <c r="H38" i="3"/>
  <c r="H21" i="3"/>
  <c r="N9" i="3"/>
  <c r="O39" i="3"/>
  <c r="I106" i="3"/>
  <c r="J88" i="3"/>
  <c r="Y67" i="3"/>
  <c r="K63" i="3"/>
  <c r="S85" i="1"/>
  <c r="Q107" i="1" s="1"/>
  <c r="H26" i="3"/>
  <c r="O44" i="3"/>
  <c r="N14" i="3"/>
  <c r="N69" i="1"/>
  <c r="M81" i="1"/>
  <c r="I122" i="3"/>
  <c r="N122" i="3" s="1"/>
  <c r="N121" i="3"/>
  <c r="S71" i="3"/>
  <c r="J53" i="3"/>
  <c r="O121" i="1"/>
  <c r="J122" i="1"/>
  <c r="O122" i="1" s="1"/>
  <c r="O123" i="1" s="1"/>
  <c r="N83" i="1"/>
  <c r="O71" i="1"/>
  <c r="J83" i="3"/>
  <c r="L74" i="1"/>
  <c r="M66" i="1"/>
  <c r="L78" i="1"/>
  <c r="L86" i="1" s="1"/>
  <c r="J99" i="1" s="1"/>
  <c r="J100" i="1" s="1"/>
  <c r="J101" i="1" s="1"/>
  <c r="N79" i="1"/>
  <c r="O67" i="1"/>
  <c r="I7" i="1"/>
  <c r="M65" i="1"/>
  <c r="M77" i="1"/>
  <c r="K98" i="1" s="1"/>
  <c r="I101" i="1" l="1"/>
  <c r="L124" i="3"/>
  <c r="J124" i="3"/>
  <c r="I124" i="3"/>
  <c r="K124" i="3"/>
  <c r="AA67" i="3"/>
  <c r="N65" i="1"/>
  <c r="P71" i="1"/>
  <c r="O83" i="1"/>
  <c r="J124" i="1"/>
  <c r="K124" i="1"/>
  <c r="M124" i="1"/>
  <c r="L124" i="1"/>
  <c r="H38" i="1"/>
  <c r="I48" i="1"/>
  <c r="O79" i="1"/>
  <c r="P67" i="1"/>
  <c r="K88" i="3"/>
  <c r="N68" i="1"/>
  <c r="M80" i="1"/>
  <c r="H67" i="3"/>
  <c r="I79" i="3" s="1"/>
  <c r="G9" i="3"/>
  <c r="J56" i="3"/>
  <c r="O8" i="1"/>
  <c r="P38" i="1"/>
  <c r="I20" i="1"/>
  <c r="J86" i="3"/>
  <c r="H99" i="3" s="1"/>
  <c r="H100" i="3" s="1"/>
  <c r="M9" i="3"/>
  <c r="J10" i="3"/>
  <c r="J10" i="1"/>
  <c r="J50" i="1"/>
  <c r="M9" i="1"/>
  <c r="K9" i="1"/>
  <c r="N9" i="1" s="1"/>
  <c r="N81" i="1"/>
  <c r="O69" i="1"/>
  <c r="M78" i="1"/>
  <c r="N66" i="1"/>
  <c r="M74" i="1"/>
  <c r="N123" i="3"/>
  <c r="O70" i="1"/>
  <c r="N82" i="1"/>
  <c r="J20" i="3"/>
  <c r="L56" i="1"/>
  <c r="M48" i="1"/>
  <c r="K49" i="1"/>
  <c r="T67" i="1"/>
  <c r="I66" i="1"/>
  <c r="J78" i="1" s="1"/>
  <c r="H8" i="1"/>
  <c r="L7" i="1"/>
  <c r="H19" i="1" s="1"/>
  <c r="J19" i="3"/>
  <c r="G39" i="3"/>
  <c r="H49" i="3"/>
  <c r="N72" i="1"/>
  <c r="M84" i="1"/>
  <c r="K86" i="3"/>
  <c r="I99" i="3" s="1"/>
  <c r="I100" i="3" s="1"/>
  <c r="I101" i="3" s="1"/>
  <c r="K74" i="3"/>
  <c r="L68" i="3"/>
  <c r="L71" i="3"/>
  <c r="L73" i="3"/>
  <c r="L67" i="3"/>
  <c r="L66" i="3"/>
  <c r="L72" i="3"/>
  <c r="L70" i="3"/>
  <c r="M65" i="3"/>
  <c r="L69" i="3"/>
  <c r="L89" i="3" l="1"/>
  <c r="J106" i="3"/>
  <c r="K89" i="3"/>
  <c r="J89" i="3"/>
  <c r="Y68" i="3"/>
  <c r="M71" i="3"/>
  <c r="M70" i="3"/>
  <c r="M69" i="3"/>
  <c r="M66" i="3"/>
  <c r="M72" i="3"/>
  <c r="M73" i="3"/>
  <c r="M85" i="3" s="1"/>
  <c r="M67" i="3"/>
  <c r="M79" i="3" s="1"/>
  <c r="N65" i="3"/>
  <c r="N63" i="3"/>
  <c r="M68" i="3"/>
  <c r="M80" i="3" s="1"/>
  <c r="J11" i="1"/>
  <c r="M10" i="1"/>
  <c r="K10" i="1"/>
  <c r="N10" i="1" s="1"/>
  <c r="J51" i="1"/>
  <c r="H101" i="3"/>
  <c r="L84" i="3"/>
  <c r="H39" i="3"/>
  <c r="G50" i="3"/>
  <c r="O9" i="1"/>
  <c r="P39" i="1"/>
  <c r="I21" i="1"/>
  <c r="M10" i="3"/>
  <c r="J11" i="3"/>
  <c r="P79" i="1"/>
  <c r="Q67" i="1"/>
  <c r="O124" i="1"/>
  <c r="O77" i="1"/>
  <c r="M98" i="1" s="1"/>
  <c r="O65" i="1"/>
  <c r="N124" i="3"/>
  <c r="H67" i="1"/>
  <c r="I8" i="1"/>
  <c r="L8" i="1"/>
  <c r="H20" i="1" s="1"/>
  <c r="M56" i="1"/>
  <c r="P48" i="1"/>
  <c r="N48" i="1"/>
  <c r="O48" i="1" s="1"/>
  <c r="O66" i="1"/>
  <c r="N74" i="1"/>
  <c r="N78" i="1"/>
  <c r="L78" i="3"/>
  <c r="L74" i="3"/>
  <c r="M63" i="3"/>
  <c r="K19" i="1"/>
  <c r="P49" i="1"/>
  <c r="N49" i="1"/>
  <c r="O49" i="1" s="1"/>
  <c r="P69" i="1"/>
  <c r="O81" i="1"/>
  <c r="T68" i="1"/>
  <c r="K50" i="1"/>
  <c r="G68" i="3"/>
  <c r="H9" i="3"/>
  <c r="O68" i="1"/>
  <c r="N80" i="1"/>
  <c r="N77" i="1"/>
  <c r="L98" i="1" s="1"/>
  <c r="P70" i="1"/>
  <c r="O82" i="1"/>
  <c r="M77" i="3"/>
  <c r="N84" i="1"/>
  <c r="O72" i="1"/>
  <c r="M88" i="1"/>
  <c r="N88" i="1"/>
  <c r="J106" i="1"/>
  <c r="L88" i="1"/>
  <c r="K88" i="1"/>
  <c r="M86" i="1"/>
  <c r="K99" i="1" s="1"/>
  <c r="K100" i="1" s="1"/>
  <c r="H49" i="1"/>
  <c r="I38" i="1"/>
  <c r="Q71" i="1"/>
  <c r="P83" i="1"/>
  <c r="P82" i="1" l="1"/>
  <c r="Q70" i="1"/>
  <c r="H68" i="3"/>
  <c r="G10" i="3"/>
  <c r="N50" i="1"/>
  <c r="O50" i="1" s="1"/>
  <c r="P50" i="1"/>
  <c r="O74" i="1"/>
  <c r="O78" i="1"/>
  <c r="K20" i="1"/>
  <c r="J52" i="1"/>
  <c r="M11" i="1"/>
  <c r="K11" i="1"/>
  <c r="N11" i="1" s="1"/>
  <c r="I80" i="3"/>
  <c r="L86" i="3"/>
  <c r="J99" i="3" s="1"/>
  <c r="J100" i="3" s="1"/>
  <c r="L88" i="3"/>
  <c r="K98" i="3"/>
  <c r="O80" i="1"/>
  <c r="P68" i="1"/>
  <c r="P81" i="1"/>
  <c r="Q69" i="1"/>
  <c r="P77" i="1"/>
  <c r="P65" i="1"/>
  <c r="G40" i="3"/>
  <c r="H50" i="3"/>
  <c r="J12" i="1"/>
  <c r="O10" i="1"/>
  <c r="P40" i="1"/>
  <c r="I22" i="1"/>
  <c r="N73" i="3"/>
  <c r="N72" i="3"/>
  <c r="N71" i="3"/>
  <c r="N67" i="3"/>
  <c r="N79" i="3" s="1"/>
  <c r="N69" i="3"/>
  <c r="O65" i="3"/>
  <c r="N66" i="3"/>
  <c r="N70" i="3"/>
  <c r="N68" i="3"/>
  <c r="M78" i="3"/>
  <c r="M86" i="3" s="1"/>
  <c r="K99" i="3" s="1"/>
  <c r="M74" i="3"/>
  <c r="N77" i="3"/>
  <c r="R71" i="1"/>
  <c r="Q83" i="1"/>
  <c r="AA68" i="3"/>
  <c r="I49" i="1"/>
  <c r="H39" i="1"/>
  <c r="K101" i="1"/>
  <c r="P72" i="1"/>
  <c r="O84" i="1"/>
  <c r="K9" i="3"/>
  <c r="G21" i="3" s="1"/>
  <c r="H9" i="1"/>
  <c r="I67" i="1"/>
  <c r="J79" i="1" s="1"/>
  <c r="T69" i="1"/>
  <c r="K51" i="1"/>
  <c r="M89" i="3"/>
  <c r="O88" i="1"/>
  <c r="N86" i="1"/>
  <c r="L99" i="1" s="1"/>
  <c r="L100" i="1" s="1"/>
  <c r="R67" i="1"/>
  <c r="Q79" i="1"/>
  <c r="M11" i="3"/>
  <c r="J12" i="3"/>
  <c r="S66" i="1"/>
  <c r="L101" i="1" l="1"/>
  <c r="P89" i="1"/>
  <c r="L89" i="1"/>
  <c r="K106" i="1"/>
  <c r="O89" i="1"/>
  <c r="N89" i="1"/>
  <c r="M89" i="1"/>
  <c r="K89" i="1"/>
  <c r="M12" i="3"/>
  <c r="J13" i="3"/>
  <c r="J21" i="3"/>
  <c r="I39" i="1"/>
  <c r="H50" i="1"/>
  <c r="O72" i="3"/>
  <c r="P65" i="3"/>
  <c r="O73" i="3"/>
  <c r="O69" i="3"/>
  <c r="O70" i="3"/>
  <c r="O82" i="3" s="1"/>
  <c r="O68" i="3"/>
  <c r="O80" i="3" s="1"/>
  <c r="O67" i="3"/>
  <c r="O79" i="3" s="1"/>
  <c r="O66" i="3"/>
  <c r="O71" i="3"/>
  <c r="O77" i="3"/>
  <c r="N98" i="1"/>
  <c r="P88" i="1"/>
  <c r="Q81" i="1"/>
  <c r="R69" i="1"/>
  <c r="J101" i="3"/>
  <c r="K106" i="3"/>
  <c r="K90" i="3"/>
  <c r="N90" i="3"/>
  <c r="J90" i="3"/>
  <c r="M90" i="3"/>
  <c r="L90" i="3"/>
  <c r="Y69" i="3"/>
  <c r="R70" i="1"/>
  <c r="Q82" i="1"/>
  <c r="R83" i="1"/>
  <c r="S83" i="1" s="1"/>
  <c r="O107" i="1" s="1"/>
  <c r="S74" i="1"/>
  <c r="L98" i="3"/>
  <c r="N89" i="3"/>
  <c r="O63" i="3"/>
  <c r="G51" i="3"/>
  <c r="H40" i="3"/>
  <c r="M88" i="3"/>
  <c r="O11" i="1"/>
  <c r="P41" i="1"/>
  <c r="I23" i="1"/>
  <c r="O86" i="1"/>
  <c r="M99" i="1" s="1"/>
  <c r="M100" i="1" s="1"/>
  <c r="M101" i="1" s="1"/>
  <c r="S78" i="1"/>
  <c r="J107" i="1" s="1"/>
  <c r="J108" i="1" s="1"/>
  <c r="G69" i="3"/>
  <c r="H10" i="3"/>
  <c r="K10" i="3"/>
  <c r="G22" i="3" s="1"/>
  <c r="R79" i="1"/>
  <c r="S67" i="1"/>
  <c r="P51" i="1"/>
  <c r="N51" i="1"/>
  <c r="O51" i="1" s="1"/>
  <c r="H68" i="1"/>
  <c r="I9" i="1"/>
  <c r="L9" i="1"/>
  <c r="H21" i="1" s="1"/>
  <c r="P84" i="1"/>
  <c r="Q72" i="1"/>
  <c r="N78" i="3"/>
  <c r="N86" i="3" s="1"/>
  <c r="L99" i="3" s="1"/>
  <c r="N74" i="3"/>
  <c r="N85" i="3"/>
  <c r="R85" i="3" s="1"/>
  <c r="P107" i="3" s="1"/>
  <c r="M12" i="1"/>
  <c r="J53" i="1"/>
  <c r="K12" i="1"/>
  <c r="N12" i="1" s="1"/>
  <c r="J13" i="1"/>
  <c r="Q65" i="1"/>
  <c r="Q77" i="1"/>
  <c r="Q89" i="1" s="1"/>
  <c r="P80" i="1"/>
  <c r="Q68" i="1"/>
  <c r="P74" i="1"/>
  <c r="K100" i="3"/>
  <c r="K101" i="3" s="1"/>
  <c r="K52" i="1"/>
  <c r="T70" i="1"/>
  <c r="S71" i="1"/>
  <c r="S79" i="1" l="1"/>
  <c r="K107" i="1" s="1"/>
  <c r="P73" i="3"/>
  <c r="P68" i="3"/>
  <c r="P80" i="3" s="1"/>
  <c r="P90" i="3" s="1"/>
  <c r="P70" i="3"/>
  <c r="P82" i="3" s="1"/>
  <c r="P66" i="3"/>
  <c r="Q65" i="3"/>
  <c r="P71" i="3"/>
  <c r="P67" i="3"/>
  <c r="P79" i="3" s="1"/>
  <c r="P69" i="3"/>
  <c r="P81" i="3" s="1"/>
  <c r="P72" i="3"/>
  <c r="I50" i="1"/>
  <c r="H40" i="1"/>
  <c r="M13" i="3"/>
  <c r="J14" i="3"/>
  <c r="M14" i="3" s="1"/>
  <c r="R81" i="1"/>
  <c r="S81" i="1" s="1"/>
  <c r="M107" i="1" s="1"/>
  <c r="S69" i="1"/>
  <c r="P63" i="3"/>
  <c r="P77" i="3"/>
  <c r="K108" i="1"/>
  <c r="K109" i="1" s="1"/>
  <c r="N52" i="1"/>
  <c r="O52" i="1" s="1"/>
  <c r="P52" i="1"/>
  <c r="J54" i="1"/>
  <c r="T72" i="1" s="1"/>
  <c r="M13" i="1"/>
  <c r="K13" i="1"/>
  <c r="N13" i="1" s="1"/>
  <c r="J14" i="1"/>
  <c r="K21" i="1"/>
  <c r="O98" i="1"/>
  <c r="Q88" i="1"/>
  <c r="Q84" i="1"/>
  <c r="R72" i="1"/>
  <c r="I68" i="1"/>
  <c r="H10" i="1"/>
  <c r="J109" i="1"/>
  <c r="N100" i="1"/>
  <c r="N101" i="1" s="1"/>
  <c r="O78" i="3"/>
  <c r="O74" i="3"/>
  <c r="Q80" i="1"/>
  <c r="Q86" i="1" s="1"/>
  <c r="O99" i="1" s="1"/>
  <c r="R68" i="1"/>
  <c r="Q74" i="1"/>
  <c r="R65" i="1"/>
  <c r="R77" i="1"/>
  <c r="T71" i="1"/>
  <c r="J80" i="1"/>
  <c r="J22" i="3"/>
  <c r="N88" i="3"/>
  <c r="AA69" i="3"/>
  <c r="O90" i="3"/>
  <c r="P86" i="1"/>
  <c r="N99" i="1" s="1"/>
  <c r="J15" i="1"/>
  <c r="O12" i="1"/>
  <c r="P42" i="1"/>
  <c r="I24" i="1"/>
  <c r="H69" i="3"/>
  <c r="I81" i="3" s="1"/>
  <c r="G11" i="3"/>
  <c r="H51" i="3"/>
  <c r="G41" i="3"/>
  <c r="L100" i="3"/>
  <c r="L101" i="3" s="1"/>
  <c r="R82" i="1"/>
  <c r="S82" i="1" s="1"/>
  <c r="N107" i="1" s="1"/>
  <c r="S70" i="1"/>
  <c r="M98" i="3"/>
  <c r="O88" i="3"/>
  <c r="O89" i="3"/>
  <c r="N91" i="3" l="1"/>
  <c r="J91" i="3"/>
  <c r="M91" i="3"/>
  <c r="P91" i="3"/>
  <c r="L91" i="3"/>
  <c r="L106" i="3"/>
  <c r="O91" i="3"/>
  <c r="K91" i="3"/>
  <c r="Y70" i="3"/>
  <c r="G70" i="3"/>
  <c r="K11" i="3"/>
  <c r="G23" i="3" s="1"/>
  <c r="H11" i="3"/>
  <c r="Q70" i="3"/>
  <c r="Q69" i="3"/>
  <c r="Q66" i="3"/>
  <c r="Q71" i="3"/>
  <c r="Q68" i="3"/>
  <c r="Q67" i="3"/>
  <c r="Q73" i="3"/>
  <c r="R73" i="3" s="1"/>
  <c r="Q72" i="3"/>
  <c r="Q84" i="3" s="1"/>
  <c r="R84" i="3" s="1"/>
  <c r="O107" i="3" s="1"/>
  <c r="H41" i="3"/>
  <c r="G52" i="3"/>
  <c r="J55" i="1"/>
  <c r="T73" i="1" s="1"/>
  <c r="T74" i="1" s="1"/>
  <c r="M14" i="1"/>
  <c r="K14" i="1"/>
  <c r="N14" i="1" s="1"/>
  <c r="H51" i="1"/>
  <c r="I40" i="1"/>
  <c r="P78" i="3"/>
  <c r="P86" i="3" s="1"/>
  <c r="N99" i="3" s="1"/>
  <c r="P74" i="3"/>
  <c r="O90" i="1"/>
  <c r="K90" i="1"/>
  <c r="Q90" i="1"/>
  <c r="L90" i="1"/>
  <c r="P90" i="1"/>
  <c r="N90" i="1"/>
  <c r="R90" i="1"/>
  <c r="M90" i="1"/>
  <c r="L106" i="1"/>
  <c r="I10" i="1"/>
  <c r="L10" i="1" s="1"/>
  <c r="H22" i="1" s="1"/>
  <c r="H69" i="1"/>
  <c r="R72" i="3"/>
  <c r="O100" i="1"/>
  <c r="O101" i="1" s="1"/>
  <c r="N98" i="3"/>
  <c r="N100" i="3" s="1"/>
  <c r="N101" i="3" s="1"/>
  <c r="P89" i="3"/>
  <c r="Q77" i="3"/>
  <c r="P98" i="1"/>
  <c r="R88" i="1"/>
  <c r="S88" i="1" s="1"/>
  <c r="R89" i="1"/>
  <c r="S89" i="1" s="1"/>
  <c r="K53" i="1"/>
  <c r="R80" i="1"/>
  <c r="R74" i="1"/>
  <c r="T77" i="1" s="1"/>
  <c r="S68" i="1"/>
  <c r="O86" i="3"/>
  <c r="M99" i="3" s="1"/>
  <c r="M100" i="3" s="1"/>
  <c r="R84" i="1"/>
  <c r="S84" i="1" s="1"/>
  <c r="P107" i="1" s="1"/>
  <c r="S72" i="1"/>
  <c r="S75" i="1"/>
  <c r="O13" i="1"/>
  <c r="P43" i="1"/>
  <c r="I25" i="1"/>
  <c r="Q63" i="3"/>
  <c r="U72" i="3"/>
  <c r="Z73" i="3" s="1"/>
  <c r="AC73" i="3" s="1"/>
  <c r="K22" i="1" l="1"/>
  <c r="M101" i="3"/>
  <c r="U73" i="3"/>
  <c r="Z74" i="3" s="1"/>
  <c r="AC74" i="3" s="1"/>
  <c r="O98" i="3"/>
  <c r="S90" i="1"/>
  <c r="Q78" i="3"/>
  <c r="Q88" i="3" s="1"/>
  <c r="Q74" i="3"/>
  <c r="S77" i="3" s="1"/>
  <c r="R66" i="3"/>
  <c r="R76" i="3"/>
  <c r="I51" i="1"/>
  <c r="H41" i="1"/>
  <c r="O14" i="1"/>
  <c r="P44" i="1"/>
  <c r="I26" i="1"/>
  <c r="M15" i="1"/>
  <c r="Q79" i="3"/>
  <c r="R79" i="3" s="1"/>
  <c r="J107" i="3" s="1"/>
  <c r="J108" i="3" s="1"/>
  <c r="J109" i="3" s="1"/>
  <c r="R67" i="3"/>
  <c r="U67" i="3" s="1"/>
  <c r="Z68" i="3" s="1"/>
  <c r="Q81" i="3"/>
  <c r="R69" i="3"/>
  <c r="H70" i="3"/>
  <c r="G12" i="3"/>
  <c r="AB70" i="3"/>
  <c r="AA70" i="3"/>
  <c r="U68" i="3"/>
  <c r="Z69" i="3" s="1"/>
  <c r="U69" i="3"/>
  <c r="Z70" i="3" s="1"/>
  <c r="AC70" i="3" s="1"/>
  <c r="U70" i="3"/>
  <c r="Z71" i="3" s="1"/>
  <c r="AC71" i="3" s="1"/>
  <c r="S80" i="1"/>
  <c r="L107" i="1" s="1"/>
  <c r="L108" i="1" s="1"/>
  <c r="R86" i="1"/>
  <c r="P99" i="1" s="1"/>
  <c r="P100" i="1" s="1"/>
  <c r="P88" i="3"/>
  <c r="H52" i="3"/>
  <c r="G42" i="3"/>
  <c r="Q80" i="3"/>
  <c r="R68" i="3"/>
  <c r="Q82" i="3"/>
  <c r="R82" i="3" s="1"/>
  <c r="M107" i="3" s="1"/>
  <c r="R70" i="3"/>
  <c r="J23" i="3"/>
  <c r="P53" i="1"/>
  <c r="P56" i="1" s="1"/>
  <c r="P57" i="1" s="1"/>
  <c r="N53" i="1"/>
  <c r="O53" i="1" s="1"/>
  <c r="O56" i="1" s="1"/>
  <c r="K56" i="1"/>
  <c r="I69" i="1"/>
  <c r="J81" i="1" s="1"/>
  <c r="H11" i="1"/>
  <c r="Q83" i="3"/>
  <c r="R83" i="3" s="1"/>
  <c r="N107" i="3" s="1"/>
  <c r="R71" i="3"/>
  <c r="U71" i="3" s="1"/>
  <c r="Z72" i="3" s="1"/>
  <c r="AC72" i="3" s="1"/>
  <c r="R75" i="3"/>
  <c r="I82" i="3"/>
  <c r="AC68" i="3" l="1"/>
  <c r="AB68" i="3"/>
  <c r="M106" i="1"/>
  <c r="M108" i="1" s="1"/>
  <c r="M109" i="1" s="1"/>
  <c r="R91" i="1"/>
  <c r="N91" i="1"/>
  <c r="M91" i="1"/>
  <c r="Q91" i="1"/>
  <c r="L91" i="1"/>
  <c r="P91" i="1"/>
  <c r="K91" i="1"/>
  <c r="O91" i="1"/>
  <c r="P101" i="1"/>
  <c r="Q101" i="1" s="1"/>
  <c r="Q100" i="1"/>
  <c r="Q102" i="1" s="1"/>
  <c r="S102" i="1" s="1"/>
  <c r="L109" i="1"/>
  <c r="Q92" i="3"/>
  <c r="M92" i="3"/>
  <c r="P92" i="3"/>
  <c r="L92" i="3"/>
  <c r="M106" i="3"/>
  <c r="M108" i="3" s="1"/>
  <c r="M109" i="3" s="1"/>
  <c r="O92" i="3"/>
  <c r="K92" i="3"/>
  <c r="Y71" i="3"/>
  <c r="N92" i="3"/>
  <c r="J92" i="3"/>
  <c r="H70" i="1"/>
  <c r="I11" i="1"/>
  <c r="L11" i="1"/>
  <c r="H23" i="1" s="1"/>
  <c r="AC69" i="3"/>
  <c r="AB69" i="3"/>
  <c r="R88" i="3"/>
  <c r="I41" i="1"/>
  <c r="H52" i="1"/>
  <c r="R74" i="3"/>
  <c r="U66" i="3"/>
  <c r="Z67" i="3" s="1"/>
  <c r="O100" i="3"/>
  <c r="Q91" i="3"/>
  <c r="R91" i="3" s="1"/>
  <c r="R81" i="3"/>
  <c r="L107" i="3" s="1"/>
  <c r="L108" i="3" s="1"/>
  <c r="L109" i="3" s="1"/>
  <c r="G71" i="3"/>
  <c r="H12" i="3"/>
  <c r="Q86" i="3"/>
  <c r="O99" i="3" s="1"/>
  <c r="R78" i="3"/>
  <c r="I107" i="3" s="1"/>
  <c r="I108" i="3" s="1"/>
  <c r="Q89" i="3"/>
  <c r="R89" i="3" s="1"/>
  <c r="Q90" i="3"/>
  <c r="R90" i="3" s="1"/>
  <c r="R80" i="3"/>
  <c r="K107" i="3" s="1"/>
  <c r="K108" i="3" s="1"/>
  <c r="K109" i="3" s="1"/>
  <c r="G53" i="3"/>
  <c r="H42" i="3"/>
  <c r="G43" i="3" l="1"/>
  <c r="H53" i="3"/>
  <c r="H71" i="3"/>
  <c r="I83" i="3" s="1"/>
  <c r="G13" i="3"/>
  <c r="S91" i="1"/>
  <c r="K12" i="3"/>
  <c r="G24" i="3" s="1"/>
  <c r="H42" i="1"/>
  <c r="I52" i="1"/>
  <c r="I109" i="3"/>
  <c r="Z75" i="3"/>
  <c r="Z76" i="3" s="1"/>
  <c r="AF67" i="3" s="1"/>
  <c r="AC67" i="3"/>
  <c r="AC75" i="3" s="1"/>
  <c r="AC76" i="3" s="1"/>
  <c r="AH75" i="3" s="1"/>
  <c r="AB67" i="3"/>
  <c r="R92" i="3"/>
  <c r="I70" i="1"/>
  <c r="J82" i="1" s="1"/>
  <c r="H12" i="1"/>
  <c r="AA71" i="3"/>
  <c r="AB71" i="3"/>
  <c r="K23" i="1"/>
  <c r="O101" i="3"/>
  <c r="P101" i="3" s="1"/>
  <c r="P100" i="3"/>
  <c r="Q92" i="1" l="1"/>
  <c r="M92" i="1"/>
  <c r="O92" i="1"/>
  <c r="N92" i="1"/>
  <c r="N106" i="1"/>
  <c r="N108" i="1" s="1"/>
  <c r="R92" i="1"/>
  <c r="L92" i="1"/>
  <c r="P92" i="1"/>
  <c r="K92" i="1"/>
  <c r="P93" i="3"/>
  <c r="L93" i="3"/>
  <c r="N106" i="3"/>
  <c r="N108" i="3" s="1"/>
  <c r="O93" i="3"/>
  <c r="K93" i="3"/>
  <c r="N93" i="3"/>
  <c r="J93" i="3"/>
  <c r="Y72" i="3"/>
  <c r="Q93" i="3"/>
  <c r="M93" i="3"/>
  <c r="H53" i="1"/>
  <c r="I42" i="1"/>
  <c r="P102" i="3"/>
  <c r="R102" i="3" s="1"/>
  <c r="H71" i="1"/>
  <c r="I12" i="1"/>
  <c r="H43" i="3"/>
  <c r="G54" i="3"/>
  <c r="J24" i="3"/>
  <c r="G72" i="3"/>
  <c r="H13" i="3"/>
  <c r="K13" i="3" s="1"/>
  <c r="G25" i="3" s="1"/>
  <c r="J25" i="3" l="1"/>
  <c r="H13" i="1"/>
  <c r="I71" i="1"/>
  <c r="J83" i="1"/>
  <c r="S92" i="1"/>
  <c r="N109" i="1"/>
  <c r="H54" i="3"/>
  <c r="G44" i="3"/>
  <c r="R93" i="3"/>
  <c r="N109" i="3"/>
  <c r="L12" i="1"/>
  <c r="H24" i="1" s="1"/>
  <c r="I53" i="1"/>
  <c r="H43" i="1"/>
  <c r="H72" i="3"/>
  <c r="I84" i="3" s="1"/>
  <c r="G14" i="3"/>
  <c r="AB72" i="3"/>
  <c r="AA72" i="3"/>
  <c r="O106" i="3" l="1"/>
  <c r="O108" i="3" s="1"/>
  <c r="O94" i="3"/>
  <c r="K94" i="3"/>
  <c r="N94" i="3"/>
  <c r="J94" i="3"/>
  <c r="Q94" i="3"/>
  <c r="M94" i="3"/>
  <c r="Y73" i="3"/>
  <c r="P94" i="3"/>
  <c r="L94" i="3"/>
  <c r="H14" i="3"/>
  <c r="H73" i="3" s="1"/>
  <c r="G73" i="3"/>
  <c r="I85" i="3" s="1"/>
  <c r="I43" i="1"/>
  <c r="H54" i="1"/>
  <c r="K24" i="1"/>
  <c r="H72" i="1"/>
  <c r="I13" i="1"/>
  <c r="L13" i="1"/>
  <c r="H25" i="1" s="1"/>
  <c r="G55" i="3"/>
  <c r="H44" i="3"/>
  <c r="H55" i="3" s="1"/>
  <c r="P93" i="1"/>
  <c r="L93" i="1"/>
  <c r="Q93" i="1"/>
  <c r="K93" i="1"/>
  <c r="O106" i="1"/>
  <c r="O108" i="1" s="1"/>
  <c r="O93" i="1"/>
  <c r="N93" i="1"/>
  <c r="R93" i="1"/>
  <c r="M93" i="1"/>
  <c r="O109" i="1" l="1"/>
  <c r="K25" i="1"/>
  <c r="R94" i="3"/>
  <c r="O109" i="3"/>
  <c r="Q109" i="3" s="1"/>
  <c r="I72" i="1"/>
  <c r="H14" i="1"/>
  <c r="AB73" i="3"/>
  <c r="AA73" i="3"/>
  <c r="J84" i="1"/>
  <c r="I54" i="1"/>
  <c r="H44" i="1"/>
  <c r="K14" i="3"/>
  <c r="G26" i="3" s="1"/>
  <c r="S93" i="1"/>
  <c r="N95" i="3"/>
  <c r="N96" i="3" s="1"/>
  <c r="J95" i="3"/>
  <c r="Q95" i="3"/>
  <c r="Q96" i="3" s="1"/>
  <c r="M95" i="3"/>
  <c r="M96" i="3" s="1"/>
  <c r="P95" i="3"/>
  <c r="P96" i="3" s="1"/>
  <c r="L95" i="3"/>
  <c r="L96" i="3" s="1"/>
  <c r="P106" i="3"/>
  <c r="P108" i="3" s="1"/>
  <c r="P109" i="3" s="1"/>
  <c r="O95" i="3"/>
  <c r="O96" i="3" s="1"/>
  <c r="K95" i="3"/>
  <c r="K96" i="3" s="1"/>
  <c r="Y74" i="3"/>
  <c r="I14" i="1" l="1"/>
  <c r="I73" i="1" s="1"/>
  <c r="H73" i="1"/>
  <c r="L14" i="1"/>
  <c r="H26" i="1" s="1"/>
  <c r="J26" i="3"/>
  <c r="J27" i="3" s="1"/>
  <c r="I26" i="3" s="1"/>
  <c r="K26" i="3" s="1"/>
  <c r="L26" i="3" s="1"/>
  <c r="M26" i="3" s="1"/>
  <c r="N26" i="3" s="1"/>
  <c r="O94" i="1"/>
  <c r="K94" i="1"/>
  <c r="P106" i="1"/>
  <c r="P108" i="1" s="1"/>
  <c r="P109" i="1" s="1"/>
  <c r="R94" i="1"/>
  <c r="M94" i="1"/>
  <c r="Q94" i="1"/>
  <c r="L94" i="1"/>
  <c r="P94" i="1"/>
  <c r="N94" i="1"/>
  <c r="AA74" i="3"/>
  <c r="AA75" i="3" s="1"/>
  <c r="AA76" i="3" s="1"/>
  <c r="AB74" i="3"/>
  <c r="AB75" i="3" s="1"/>
  <c r="AB76" i="3" s="1"/>
  <c r="Y75" i="3"/>
  <c r="Y76" i="3" s="1"/>
  <c r="AF77" i="3"/>
  <c r="AF76" i="3"/>
  <c r="R95" i="3"/>
  <c r="J96" i="3"/>
  <c r="R96" i="3" s="1"/>
  <c r="I44" i="1"/>
  <c r="H55" i="1"/>
  <c r="Q108" i="3"/>
  <c r="Q110" i="3" s="1"/>
  <c r="Q111" i="3" s="1"/>
  <c r="AF74" i="3" l="1"/>
  <c r="AF68" i="3"/>
  <c r="J85" i="1"/>
  <c r="I55" i="1"/>
  <c r="AH74" i="3"/>
  <c r="AE68" i="3"/>
  <c r="S94" i="1"/>
  <c r="J102" i="3"/>
  <c r="M102" i="3" s="1"/>
  <c r="AD68" i="3"/>
  <c r="AE67" i="3"/>
  <c r="K26" i="1"/>
  <c r="K27" i="1" s="1"/>
  <c r="J26" i="1"/>
  <c r="L26" i="1" s="1"/>
  <c r="M26" i="1" s="1"/>
  <c r="N26" i="1" s="1"/>
  <c r="O26" i="1" s="1"/>
  <c r="G17" i="3"/>
  <c r="I19" i="3"/>
  <c r="K19" i="3" s="1"/>
  <c r="I20" i="3"/>
  <c r="K20" i="3" s="1"/>
  <c r="L20" i="3" s="1"/>
  <c r="M20" i="3" s="1"/>
  <c r="N20" i="3" s="1"/>
  <c r="I21" i="3"/>
  <c r="K21" i="3" s="1"/>
  <c r="L21" i="3" s="1"/>
  <c r="M21" i="3" s="1"/>
  <c r="N21" i="3" s="1"/>
  <c r="I22" i="3"/>
  <c r="K22" i="3" s="1"/>
  <c r="L22" i="3" s="1"/>
  <c r="M22" i="3" s="1"/>
  <c r="N22" i="3" s="1"/>
  <c r="I23" i="3"/>
  <c r="K23" i="3" s="1"/>
  <c r="L23" i="3" s="1"/>
  <c r="M23" i="3" s="1"/>
  <c r="N23" i="3" s="1"/>
  <c r="I24" i="3"/>
  <c r="K24" i="3" s="1"/>
  <c r="L24" i="3" s="1"/>
  <c r="M24" i="3" s="1"/>
  <c r="N24" i="3" s="1"/>
  <c r="I25" i="3"/>
  <c r="K25" i="3" s="1"/>
  <c r="L25" i="3" s="1"/>
  <c r="M25" i="3" s="1"/>
  <c r="N25" i="3" s="1"/>
  <c r="H17" i="1" l="1"/>
  <c r="G55" i="1"/>
  <c r="G48" i="1"/>
  <c r="G54" i="1"/>
  <c r="G49" i="1"/>
  <c r="G52" i="1"/>
  <c r="G51" i="1"/>
  <c r="G50" i="1"/>
  <c r="G53" i="1"/>
  <c r="J19" i="1"/>
  <c r="L19" i="1" s="1"/>
  <c r="J20" i="1"/>
  <c r="L20" i="1" s="1"/>
  <c r="M20" i="1" s="1"/>
  <c r="N20" i="1" s="1"/>
  <c r="O20" i="1" s="1"/>
  <c r="J21" i="1"/>
  <c r="L21" i="1" s="1"/>
  <c r="M21" i="1" s="1"/>
  <c r="N21" i="1" s="1"/>
  <c r="O21" i="1" s="1"/>
  <c r="J22" i="1"/>
  <c r="L22" i="1" s="1"/>
  <c r="M22" i="1" s="1"/>
  <c r="N22" i="1" s="1"/>
  <c r="O22" i="1" s="1"/>
  <c r="J23" i="1"/>
  <c r="L23" i="1" s="1"/>
  <c r="M23" i="1" s="1"/>
  <c r="N23" i="1" s="1"/>
  <c r="O23" i="1" s="1"/>
  <c r="J24" i="1"/>
  <c r="L24" i="1" s="1"/>
  <c r="M24" i="1" s="1"/>
  <c r="N24" i="1" s="1"/>
  <c r="O24" i="1" s="1"/>
  <c r="J25" i="1"/>
  <c r="L25" i="1" s="1"/>
  <c r="M25" i="1" s="1"/>
  <c r="N25" i="1" s="1"/>
  <c r="O25" i="1" s="1"/>
  <c r="AD70" i="3" a="1"/>
  <c r="Q106" i="1"/>
  <c r="Q108" i="1" s="1"/>
  <c r="R95" i="1"/>
  <c r="R96" i="1" s="1"/>
  <c r="N95" i="1"/>
  <c r="N96" i="1" s="1"/>
  <c r="O95" i="1"/>
  <c r="O96" i="1" s="1"/>
  <c r="M95" i="1"/>
  <c r="M96" i="1" s="1"/>
  <c r="Q95" i="1"/>
  <c r="Q96" i="1" s="1"/>
  <c r="L95" i="1"/>
  <c r="L96" i="1" s="1"/>
  <c r="P95" i="1"/>
  <c r="P96" i="1" s="1"/>
  <c r="K95" i="1"/>
  <c r="K27" i="3"/>
  <c r="L19" i="3"/>
  <c r="I103" i="3"/>
  <c r="K103" i="3"/>
  <c r="AH76" i="3"/>
  <c r="AD81" i="3" l="1"/>
  <c r="AH81" i="3"/>
  <c r="AI76" i="3"/>
  <c r="AE81" i="3"/>
  <c r="M19" i="1"/>
  <c r="L27" i="1"/>
  <c r="L27" i="3"/>
  <c r="G28" i="3" s="1"/>
  <c r="G29" i="3" s="1"/>
  <c r="M19" i="3"/>
  <c r="S95" i="1"/>
  <c r="K96" i="1"/>
  <c r="S96" i="1" s="1"/>
  <c r="Q109" i="1"/>
  <c r="R109" i="1" s="1"/>
  <c r="R108" i="1"/>
  <c r="AE70" i="3"/>
  <c r="AD70" i="3"/>
  <c r="AD76" i="3" s="1" a="1"/>
  <c r="AE71" i="3"/>
  <c r="AD71" i="3"/>
  <c r="M27" i="1" l="1"/>
  <c r="H28" i="1" s="1"/>
  <c r="H29" i="1" s="1"/>
  <c r="N19" i="1"/>
  <c r="R110" i="1"/>
  <c r="R111" i="1" s="1"/>
  <c r="K102" i="1" s="1"/>
  <c r="N102" i="1" s="1"/>
  <c r="M27" i="3"/>
  <c r="I28" i="3" s="1"/>
  <c r="G31" i="3" s="1"/>
  <c r="N19" i="3"/>
  <c r="N27" i="3" s="1"/>
  <c r="K28" i="3" s="1"/>
  <c r="G32" i="3" s="1"/>
  <c r="AD77" i="3"/>
  <c r="AD76" i="3"/>
  <c r="G30" i="3"/>
  <c r="J30" i="3"/>
  <c r="L30" i="3" s="1"/>
  <c r="K35" i="3" l="1"/>
  <c r="K32" i="3"/>
  <c r="I35" i="3"/>
  <c r="K30" i="1"/>
  <c r="M30" i="1" s="1"/>
  <c r="H30" i="1"/>
  <c r="M57" i="3"/>
  <c r="J39" i="3"/>
  <c r="P39" i="3" s="1"/>
  <c r="L39" i="3" s="1"/>
  <c r="I42" i="3"/>
  <c r="J43" i="3"/>
  <c r="P43" i="3" s="1"/>
  <c r="L43" i="3" s="1"/>
  <c r="J38" i="3"/>
  <c r="P38" i="3" s="1"/>
  <c r="L38" i="3" s="1"/>
  <c r="I40" i="3"/>
  <c r="I41" i="3"/>
  <c r="J42" i="3"/>
  <c r="P42" i="3" s="1"/>
  <c r="L42" i="3" s="1"/>
  <c r="J37" i="3"/>
  <c r="P37" i="3" s="1"/>
  <c r="L37" i="3" s="1"/>
  <c r="J41" i="3"/>
  <c r="P41" i="3" s="1"/>
  <c r="L41" i="3" s="1"/>
  <c r="I43" i="3"/>
  <c r="I44" i="3"/>
  <c r="I38" i="3"/>
  <c r="I39" i="3"/>
  <c r="J40" i="3"/>
  <c r="P40" i="3" s="1"/>
  <c r="L40" i="3" s="1"/>
  <c r="N27" i="1"/>
  <c r="J28" i="1" s="1"/>
  <c r="H31" i="1" s="1"/>
  <c r="O19" i="1"/>
  <c r="O27" i="1" s="1"/>
  <c r="L28" i="1" s="1"/>
  <c r="H32" i="1" s="1"/>
  <c r="L35" i="1" l="1"/>
  <c r="L32" i="1"/>
  <c r="J35" i="1"/>
  <c r="K42" i="3"/>
  <c r="M42" i="3" s="1"/>
  <c r="K40" i="3"/>
  <c r="M40" i="3" s="1"/>
  <c r="K41" i="3"/>
  <c r="M41" i="3" s="1"/>
  <c r="K38" i="3"/>
  <c r="M37" i="3"/>
  <c r="M38" i="3"/>
  <c r="K39" i="3"/>
  <c r="M39" i="3" s="1"/>
  <c r="K33" i="3"/>
  <c r="M33" i="3"/>
  <c r="K43" i="3"/>
  <c r="M43" i="3" s="1"/>
  <c r="K44" i="3"/>
  <c r="M44" i="3" s="1"/>
  <c r="N57" i="1"/>
  <c r="K44" i="1"/>
  <c r="K40" i="1"/>
  <c r="K38" i="1"/>
  <c r="K39" i="1"/>
  <c r="J41" i="1"/>
  <c r="K42" i="1"/>
  <c r="K43" i="1"/>
  <c r="K37" i="1"/>
  <c r="J40" i="1"/>
  <c r="K41" i="1"/>
  <c r="J43" i="1"/>
  <c r="J44" i="1"/>
  <c r="J38" i="1"/>
  <c r="J39" i="1"/>
  <c r="J42" i="1"/>
  <c r="N42" i="3" l="1"/>
  <c r="K53" i="3" s="1"/>
  <c r="L53" i="3" s="1"/>
  <c r="F53" i="3"/>
  <c r="F54" i="3"/>
  <c r="N43" i="3"/>
  <c r="N40" i="3"/>
  <c r="K51" i="3" s="1"/>
  <c r="L51" i="3" s="1"/>
  <c r="F51" i="3"/>
  <c r="F50" i="3"/>
  <c r="N39" i="3"/>
  <c r="K50" i="3" s="1"/>
  <c r="L50" i="3" s="1"/>
  <c r="N41" i="3"/>
  <c r="K52" i="3" s="1"/>
  <c r="L52" i="3" s="1"/>
  <c r="F52" i="3"/>
  <c r="N38" i="3"/>
  <c r="K49" i="3" s="1"/>
  <c r="F49" i="3"/>
  <c r="M45" i="3"/>
  <c r="F48" i="3"/>
  <c r="N37" i="3"/>
  <c r="F55" i="3"/>
  <c r="N44" i="3"/>
  <c r="L33" i="1"/>
  <c r="N33" i="1"/>
  <c r="O51" i="3" l="1"/>
  <c r="M51" i="3"/>
  <c r="N51" i="3" s="1"/>
  <c r="M50" i="3"/>
  <c r="N50" i="3" s="1"/>
  <c r="O50" i="3"/>
  <c r="M52" i="3"/>
  <c r="N52" i="3" s="1"/>
  <c r="O52" i="3"/>
  <c r="O53" i="3"/>
  <c r="M53" i="3"/>
  <c r="N53" i="3" s="1"/>
  <c r="K48" i="3"/>
  <c r="K56" i="3" s="1"/>
  <c r="N45" i="3"/>
  <c r="L49" i="3"/>
  <c r="L56" i="3" l="1"/>
  <c r="O49" i="3"/>
  <c r="O56" i="3" s="1"/>
  <c r="O57" i="3" s="1"/>
  <c r="M49" i="3"/>
  <c r="N49" i="3" s="1"/>
  <c r="N56" i="3" l="1"/>
</calcChain>
</file>

<file path=xl/sharedStrings.xml><?xml version="1.0" encoding="utf-8"?>
<sst xmlns="http://schemas.openxmlformats.org/spreadsheetml/2006/main" count="303" uniqueCount="145">
  <si>
    <t>X</t>
  </si>
  <si>
    <t>Y</t>
  </si>
  <si>
    <t>Хмин</t>
  </si>
  <si>
    <t>Хмакс</t>
  </si>
  <si>
    <t>6 вариант</t>
  </si>
  <si>
    <t>Задание 4</t>
  </si>
  <si>
    <t>№1</t>
  </si>
  <si>
    <t>R</t>
  </si>
  <si>
    <t>разброс</t>
  </si>
  <si>
    <t>Обработайте статистические данные 100 независимых измерений некоторой физической величины Х.</t>
  </si>
  <si>
    <t>k=</t>
  </si>
  <si>
    <t>а) Составьте статистическое распределение частот выборки Х.</t>
  </si>
  <si>
    <t>h=</t>
  </si>
  <si>
    <t>6) Найдите эмпирическую функцию распределения и постройте ее график.</t>
  </si>
  <si>
    <t>?</t>
  </si>
  <si>
    <t>в) Постройте полигон и гистограмму относительных частот.</t>
  </si>
  <si>
    <t>ai</t>
  </si>
  <si>
    <t>bi</t>
  </si>
  <si>
    <t>ni</t>
  </si>
  <si>
    <t>nsi</t>
  </si>
  <si>
    <t>xi</t>
  </si>
  <si>
    <r>
      <rPr>
        <sz val="10"/>
        <rFont val="Symbol"/>
        <family val="1"/>
        <charset val="2"/>
      </rPr>
      <t>m</t>
    </r>
    <r>
      <rPr>
        <sz val="10"/>
        <rFont val="Arial Cyr"/>
        <charset val="204"/>
      </rPr>
      <t>i=mi/100</t>
    </r>
  </si>
  <si>
    <t>wsi=msi/n</t>
  </si>
  <si>
    <r>
      <rPr>
        <sz val="10"/>
        <rFont val="Symbol"/>
        <family val="1"/>
        <charset val="2"/>
      </rPr>
      <t>m</t>
    </r>
    <r>
      <rPr>
        <sz val="10"/>
        <rFont val="Arial Cyr"/>
        <charset val="204"/>
      </rPr>
      <t>i/h</t>
    </r>
  </si>
  <si>
    <t>г) Вьтчислите числовые характеристики:</t>
  </si>
  <si>
    <t>• выборочную среднюю;</t>
  </si>
  <si>
    <t>• выборочную дисперсию;</t>
  </si>
  <si>
    <t>• выборочное среднее квадратическое отклонение;</t>
  </si>
  <si>
    <t>• коэффициенты эксцесса и асимметрии.</t>
  </si>
  <si>
    <t>№2</t>
  </si>
  <si>
    <t>д) Вьщнивув гипотезу о нормальном распределении, проверьте ее критерием согласия Гiирсона при уровне значимости а = 0.05.</t>
  </si>
  <si>
    <t>е) Найдите точечньте и интервальные оценки параметров распределения (доверительвую вероятность принять равной 0.95).</t>
  </si>
  <si>
    <t>-</t>
  </si>
  <si>
    <t>xср=</t>
  </si>
  <si>
    <r>
      <rPr>
        <sz val="10"/>
        <rFont val="Symbol"/>
        <family val="1"/>
        <charset val="2"/>
      </rPr>
      <t>m</t>
    </r>
    <r>
      <rPr>
        <sz val="10"/>
        <rFont val="Arial Cyr"/>
        <charset val="204"/>
      </rPr>
      <t>i</t>
    </r>
  </si>
  <si>
    <t>d</t>
  </si>
  <si>
    <r>
      <rPr>
        <sz val="10"/>
        <rFont val="Arial Cyr"/>
        <charset val="204"/>
      </rPr>
      <t>xi</t>
    </r>
    <r>
      <rPr>
        <sz val="10"/>
        <rFont val="Symbol"/>
        <family val="1"/>
        <charset val="2"/>
      </rPr>
      <t>m</t>
    </r>
    <r>
      <rPr>
        <sz val="10"/>
        <rFont val="Arial Cyr"/>
        <charset val="204"/>
      </rPr>
      <t>i</t>
    </r>
  </si>
  <si>
    <t>d*mi</t>
  </si>
  <si>
    <t>d2*mi</t>
  </si>
  <si>
    <t>d3*mi</t>
  </si>
  <si>
    <t>d4*mi</t>
  </si>
  <si>
    <t>2)</t>
  </si>
  <si>
    <t>m2</t>
  </si>
  <si>
    <t>m3</t>
  </si>
  <si>
    <t>m4</t>
  </si>
  <si>
    <t>s2</t>
  </si>
  <si>
    <t>точечные оценки</t>
  </si>
  <si>
    <t>s</t>
  </si>
  <si>
    <t>несмещ s2=</t>
  </si>
  <si>
    <t>несмещ s=</t>
  </si>
  <si>
    <t>Ac</t>
  </si>
  <si>
    <t>t=</t>
  </si>
  <si>
    <t>Ek</t>
  </si>
  <si>
    <t>ts/n^0,5=</t>
  </si>
  <si>
    <t>№3</t>
  </si>
  <si>
    <t>интервальная оценка</t>
  </si>
  <si>
    <t>&lt;a&lt;</t>
  </si>
  <si>
    <t>n=100, g=0,95, q=</t>
  </si>
  <si>
    <t>&lt;1(табл)</t>
  </si>
  <si>
    <t>&lt;s&lt;</t>
  </si>
  <si>
    <t>t1i</t>
  </si>
  <si>
    <t>t2i</t>
  </si>
  <si>
    <t>F(t1)</t>
  </si>
  <si>
    <t>F(t2)</t>
  </si>
  <si>
    <t>pi</t>
  </si>
  <si>
    <t>mti=npi</t>
  </si>
  <si>
    <t>"-Ґ</t>
  </si>
  <si>
    <t>pi/h</t>
  </si>
  <si>
    <t>n*i</t>
  </si>
  <si>
    <t>mi-mti</t>
  </si>
  <si>
    <t>(mi-mti)^2/mti</t>
  </si>
  <si>
    <t>контроль</t>
  </si>
  <si>
    <t>№4</t>
  </si>
  <si>
    <t>хи2</t>
  </si>
  <si>
    <t>стр.255</t>
  </si>
  <si>
    <t>m=s/sqr(n)=</t>
  </si>
  <si>
    <t>стр.249</t>
  </si>
  <si>
    <t>хи(0,05;6-3)</t>
  </si>
  <si>
    <t>Корреляционная таблица</t>
  </si>
  <si>
    <t>использовать меню данные -сортировка</t>
  </si>
  <si>
    <t>Yмин</t>
  </si>
  <si>
    <t>Yмакс</t>
  </si>
  <si>
    <t>№5</t>
  </si>
  <si>
    <t>3)</t>
  </si>
  <si>
    <t>№6</t>
  </si>
  <si>
    <t>4)</t>
  </si>
  <si>
    <t>m(xy)</t>
  </si>
  <si>
    <t>5)</t>
  </si>
  <si>
    <t>закон распределения Y</t>
  </si>
  <si>
    <t>(закон распределения X</t>
  </si>
  <si>
    <t>известен)</t>
  </si>
  <si>
    <t>№7</t>
  </si>
  <si>
    <t>7)</t>
  </si>
  <si>
    <t>p</t>
  </si>
  <si>
    <t>m(y)</t>
  </si>
  <si>
    <t>№8</t>
  </si>
  <si>
    <t>m(y2)</t>
  </si>
  <si>
    <t>rв=(m(xy)-m(x)m(y))/(sxsy)</t>
  </si>
  <si>
    <t>r(sy)/(sx)</t>
  </si>
  <si>
    <t>D(y)</t>
  </si>
  <si>
    <t>s(y)</t>
  </si>
  <si>
    <t>закон распределения X</t>
  </si>
  <si>
    <t>(известен)</t>
  </si>
  <si>
    <t>x</t>
  </si>
  <si>
    <t>m(x)</t>
  </si>
  <si>
    <r>
      <rPr>
        <sz val="10"/>
        <rFont val="Arial Cyr"/>
        <charset val="204"/>
      </rPr>
      <t>m(x</t>
    </r>
    <r>
      <rPr>
        <vertAlign val="superscript"/>
        <sz val="10"/>
        <rFont val="Arial Cyr"/>
        <family val="2"/>
        <charset val="204"/>
      </rPr>
      <t>2</t>
    </r>
    <r>
      <rPr>
        <sz val="10"/>
        <rFont val="Arial Cyr"/>
        <charset val="204"/>
      </rPr>
      <t>)</t>
    </r>
  </si>
  <si>
    <t>D(x)</t>
  </si>
  <si>
    <t>s(x)</t>
  </si>
  <si>
    <t>з396</t>
  </si>
  <si>
    <t>mx</t>
  </si>
  <si>
    <t>mx2</t>
  </si>
  <si>
    <t>D</t>
  </si>
  <si>
    <t>F</t>
  </si>
  <si>
    <t>Карман</t>
  </si>
  <si>
    <t>Частота</t>
  </si>
  <si>
    <t>Еще</t>
  </si>
  <si>
    <t>8 вариант</t>
  </si>
  <si>
    <t>частота</t>
  </si>
  <si>
    <t>накопл част</t>
  </si>
  <si>
    <t>сер инт</t>
  </si>
  <si>
    <t>отн частота</t>
  </si>
  <si>
    <t>накопл отн частота</t>
  </si>
  <si>
    <t>-∞</t>
  </si>
  <si>
    <t>+∞</t>
  </si>
  <si>
    <t>хи2 набл</t>
  </si>
  <si>
    <t>прил 5 с 392</t>
  </si>
  <si>
    <t>n</t>
  </si>
  <si>
    <t>X2</t>
  </si>
  <si>
    <t>XY</t>
  </si>
  <si>
    <t>Y2</t>
  </si>
  <si>
    <t>b0</t>
  </si>
  <si>
    <t>b1</t>
  </si>
  <si>
    <r>
      <rPr>
        <sz val="10"/>
        <rFont val="Symbol"/>
        <family val="1"/>
        <charset val="2"/>
      </rPr>
      <t>m</t>
    </r>
    <r>
      <rPr>
        <sz val="10"/>
        <rFont val="Arial Cyr"/>
        <charset val="204"/>
      </rPr>
      <t>=</t>
    </r>
  </si>
  <si>
    <t>Sx=</t>
  </si>
  <si>
    <t>Итого</t>
  </si>
  <si>
    <t>Sy=</t>
  </si>
  <si>
    <t>сред</t>
  </si>
  <si>
    <t>r=</t>
  </si>
  <si>
    <t>Проверить значимость коэф кореляции на уровне альфа = 0,95 задача 610 гмурман</t>
  </si>
  <si>
    <r>
      <rPr>
        <sz val="11"/>
        <color rgb="FF4D5156"/>
        <rFont val="Arial"/>
        <family val="2"/>
        <charset val="204"/>
      </rPr>
      <t>от 0 до 0,3, очень </t>
    </r>
    <r>
      <rPr>
        <b/>
        <sz val="11"/>
        <color rgb="FF5F6368"/>
        <rFont val="Arial"/>
        <family val="2"/>
        <charset val="204"/>
      </rPr>
      <t>слабая</t>
    </r>
    <r>
      <rPr>
        <sz val="11"/>
        <color rgb="FF4D5156"/>
        <rFont val="Arial"/>
        <family val="2"/>
        <charset val="204"/>
      </rPr>
      <t> ; 
от 0,3 до 0,5, </t>
    </r>
    <r>
      <rPr>
        <b/>
        <sz val="11"/>
        <color rgb="FF5F6368"/>
        <rFont val="Arial"/>
        <family val="2"/>
        <charset val="204"/>
      </rPr>
      <t>слабая</t>
    </r>
    <r>
      <rPr>
        <sz val="11"/>
        <color rgb="FF4D5156"/>
        <rFont val="Arial"/>
        <family val="2"/>
        <charset val="204"/>
      </rPr>
      <t> ;
 от 0, 5 до 0,7, </t>
    </r>
    <r>
      <rPr>
        <b/>
        <sz val="11"/>
        <color rgb="FF5F6368"/>
        <rFont val="Arial"/>
        <family val="2"/>
        <charset val="204"/>
      </rPr>
      <t>средняя</t>
    </r>
    <r>
      <rPr>
        <sz val="11"/>
        <color rgb="FF4D5156"/>
        <rFont val="Arial"/>
        <family val="2"/>
        <charset val="204"/>
      </rPr>
      <t> ;
 от 0,7 до 0, 9, высокая</t>
    </r>
  </si>
  <si>
    <t>двустороний критерий стюдента, сначала т крит и расчет</t>
  </si>
  <si>
    <t>610 задание</t>
  </si>
  <si>
    <t>Тнабл</t>
  </si>
  <si>
    <t>y=</t>
  </si>
  <si>
    <t>*x+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</si>
</sst>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000"/>
  </numFmts>
  <fonts count="12" x14ac:knownFonts="1">
    <font>
      <sz val="10"/>
      <name val="Arial Cyr"/>
      <charset val="204"/>
    </font>
    <font>
      <sz val="10"/>
      <name val="Symbol"/>
      <family val="1"/>
      <charset val="2"/>
    </font>
    <font>
      <sz val="10"/>
      <name val="Arial Cyr"/>
      <family val="2"/>
      <charset val="204"/>
    </font>
    <font>
      <sz val="13.5"/>
      <name val="Symbol"/>
      <family val="1"/>
      <charset val="2"/>
    </font>
    <font>
      <b/>
      <sz val="10"/>
      <name val="Arial Cyr"/>
      <family val="2"/>
      <charset val="204"/>
    </font>
    <font>
      <vertAlign val="superscript"/>
      <sz val="10"/>
      <name val="Arial Cyr"/>
      <family val="2"/>
      <charset val="204"/>
    </font>
    <font>
      <i/>
      <sz val="10"/>
      <name val="Arial Cyr"/>
      <charset val="204"/>
    </font>
    <font>
      <sz val="10"/>
      <name val="Times New Roman"/>
      <family val="1"/>
      <charset val="1"/>
    </font>
    <font>
      <sz val="11"/>
      <color rgb="FF4D5156"/>
      <name val="Arial"/>
      <family val="2"/>
      <charset val="204"/>
    </font>
    <font>
      <b/>
      <sz val="11"/>
      <color rgb="FF5F6368"/>
      <name val="Arial"/>
      <family val="2"/>
      <charset val="204"/>
    </font>
    <font>
      <sz val="10"/>
      <color rgb="FFFF0000"/>
      <name val="Arial Cyr"/>
      <charset val="204"/>
    </font>
    <font>
      <sz val="8"/>
      <name val="Arial Cyr"/>
      <charset val="204"/>
    </font>
  </fonts>
  <fills count="26">
    <fill>
      <patternFill patternType="none"/>
    </fill>
    <fill>
      <patternFill patternType="gray125"/>
    </fill>
    <fill>
      <patternFill patternType="solid">
        <fgColor rgb="FFFFCC99"/>
        <bgColor rgb="FFFFDBB6"/>
      </patternFill>
    </fill>
    <fill>
      <patternFill patternType="solid">
        <fgColor rgb="FFFFFF99"/>
        <bgColor rgb="FFE8F2A1"/>
      </patternFill>
    </fill>
    <fill>
      <patternFill patternType="solid">
        <fgColor rgb="FFC0C0C0"/>
        <bgColor rgb="FFBFBFBF"/>
      </patternFill>
    </fill>
    <fill>
      <patternFill patternType="solid">
        <fgColor rgb="FFFFCC00"/>
        <bgColor rgb="FFFFFF00"/>
      </patternFill>
    </fill>
    <fill>
      <patternFill patternType="solid">
        <fgColor rgb="FF969696"/>
        <bgColor rgb="FF8B8B8B"/>
      </patternFill>
    </fill>
    <fill>
      <patternFill patternType="solid">
        <fgColor rgb="FFCCFFFF"/>
        <bgColor rgb="FFCCFFCC"/>
      </patternFill>
    </fill>
    <fill>
      <patternFill patternType="solid">
        <fgColor rgb="FF99CC00"/>
        <bgColor rgb="FFFFCC00"/>
      </patternFill>
    </fill>
    <fill>
      <patternFill patternType="solid">
        <fgColor rgb="FF000080"/>
        <bgColor rgb="FF000080"/>
      </patternFill>
    </fill>
    <fill>
      <patternFill patternType="solid">
        <fgColor rgb="FFCCFFCC"/>
        <bgColor rgb="FFCCFFFF"/>
      </patternFill>
    </fill>
    <fill>
      <patternFill patternType="solid">
        <fgColor rgb="FFFF99CC"/>
        <bgColor rgb="FFBF819E"/>
      </patternFill>
    </fill>
    <fill>
      <patternFill patternType="solid">
        <fgColor rgb="FF00CCFF"/>
        <bgColor rgb="FF33CCCC"/>
      </patternFill>
    </fill>
    <fill>
      <patternFill patternType="solid">
        <fgColor rgb="FF33CCCC"/>
        <bgColor rgb="FF00CCFF"/>
      </patternFill>
    </fill>
    <fill>
      <patternFill patternType="solid">
        <fgColor rgb="FF993366"/>
        <bgColor rgb="FF993300"/>
      </patternFill>
    </fill>
    <fill>
      <patternFill patternType="solid">
        <fgColor rgb="FFFFFF00"/>
        <bgColor rgb="FFFFCC00"/>
      </patternFill>
    </fill>
    <fill>
      <patternFill patternType="solid">
        <fgColor rgb="FFDEE6EF"/>
        <bgColor rgb="FFEEEEEE"/>
      </patternFill>
    </fill>
    <fill>
      <patternFill patternType="solid">
        <fgColor rgb="FFE8F2A1"/>
        <bgColor rgb="FFFFFF99"/>
      </patternFill>
    </fill>
    <fill>
      <patternFill patternType="solid">
        <fgColor rgb="FFFFF5CE"/>
        <bgColor rgb="FFEEEEEE"/>
      </patternFill>
    </fill>
    <fill>
      <patternFill patternType="solid">
        <fgColor rgb="FF00B050"/>
        <bgColor rgb="FF008080"/>
      </patternFill>
    </fill>
    <fill>
      <patternFill patternType="solid">
        <fgColor rgb="FFEEEEEE"/>
        <bgColor rgb="FFDEE6EF"/>
      </patternFill>
    </fill>
    <fill>
      <patternFill patternType="solid">
        <fgColor rgb="FFFFDBB6"/>
        <bgColor rgb="FFFFD8CE"/>
      </patternFill>
    </fill>
    <fill>
      <patternFill patternType="solid">
        <fgColor rgb="FF1C1C1C"/>
        <bgColor rgb="FF333300"/>
      </patternFill>
    </fill>
    <fill>
      <patternFill patternType="solid">
        <fgColor theme="0"/>
        <bgColor rgb="FFEEEEEE"/>
      </patternFill>
    </fill>
    <fill>
      <patternFill patternType="solid">
        <fgColor rgb="FFFFD8CE"/>
        <bgColor rgb="FFFFDBB6"/>
      </patternFill>
    </fill>
    <fill>
      <patternFill patternType="solid">
        <fgColor rgb="FFBF819E"/>
        <bgColor rgb="FF969696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applyAlignment="1" applyProtection="1"/>
    <xf numFmtId="0" fontId="0" fillId="0" borderId="1" xfId="0" applyBorder="1" applyAlignment="1" applyProtection="1"/>
    <xf numFmtId="0" fontId="0" fillId="0" borderId="2" xfId="0" applyFont="1" applyBorder="1" applyAlignment="1" applyProtection="1"/>
    <xf numFmtId="0" fontId="0" fillId="0" borderId="3" xfId="0" applyFont="1" applyBorder="1" applyAlignment="1" applyProtection="1"/>
    <xf numFmtId="2" fontId="0" fillId="0" borderId="0" xfId="0" applyNumberFormat="1" applyAlignment="1" applyProtection="1"/>
    <xf numFmtId="0" fontId="0" fillId="2" borderId="0" xfId="0" applyFont="1" applyFill="1" applyAlignment="1" applyProtection="1"/>
    <xf numFmtId="0" fontId="0" fillId="3" borderId="0" xfId="0" applyFill="1" applyAlignment="1" applyProtection="1"/>
    <xf numFmtId="164" fontId="0" fillId="0" borderId="0" xfId="0" applyNumberFormat="1" applyAlignment="1" applyProtection="1"/>
    <xf numFmtId="0" fontId="0" fillId="0" borderId="4" xfId="0" applyBorder="1" applyAlignment="1" applyProtection="1"/>
    <xf numFmtId="0" fontId="0" fillId="0" borderId="2" xfId="0" applyFont="1" applyBorder="1" applyAlignment="1" applyProtection="1">
      <alignment horizontal="center"/>
    </xf>
    <xf numFmtId="0" fontId="1" fillId="0" borderId="2" xfId="0" applyFont="1" applyBorder="1" applyAlignment="1" applyProtection="1"/>
    <xf numFmtId="2" fontId="0" fillId="0" borderId="2" xfId="0" applyNumberFormat="1" applyBorder="1" applyAlignment="1" applyProtection="1"/>
    <xf numFmtId="164" fontId="2" fillId="0" borderId="2" xfId="0" applyNumberFormat="1" applyFont="1" applyBorder="1" applyAlignment="1" applyProtection="1"/>
    <xf numFmtId="1" fontId="0" fillId="0" borderId="2" xfId="0" applyNumberFormat="1" applyBorder="1" applyAlignment="1" applyProtection="1"/>
    <xf numFmtId="0" fontId="0" fillId="4" borderId="0" xfId="0" applyFill="1" applyAlignment="1" applyProtection="1"/>
    <xf numFmtId="0" fontId="1" fillId="0" borderId="0" xfId="0" applyFont="1" applyAlignment="1" applyProtection="1"/>
    <xf numFmtId="0" fontId="3" fillId="0" borderId="0" xfId="0" applyFont="1" applyAlignment="1" applyProtection="1"/>
    <xf numFmtId="165" fontId="0" fillId="0" borderId="0" xfId="0" applyNumberFormat="1" applyAlignment="1" applyProtection="1"/>
    <xf numFmtId="1" fontId="0" fillId="0" borderId="0" xfId="0" applyNumberFormat="1" applyAlignment="1" applyProtection="1"/>
    <xf numFmtId="2" fontId="4" fillId="0" borderId="2" xfId="0" applyNumberFormat="1" applyFont="1" applyBorder="1" applyAlignment="1" applyProtection="1"/>
    <xf numFmtId="1" fontId="4" fillId="0" borderId="2" xfId="0" applyNumberFormat="1" applyFont="1" applyBorder="1" applyAlignment="1" applyProtection="1"/>
    <xf numFmtId="0" fontId="0" fillId="5" borderId="0" xfId="0" applyFill="1" applyAlignment="1" applyProtection="1"/>
    <xf numFmtId="0" fontId="1" fillId="0" borderId="2" xfId="0" applyFont="1" applyBorder="1" applyAlignment="1" applyProtection="1">
      <alignment horizontal="center"/>
    </xf>
    <xf numFmtId="166" fontId="0" fillId="0" borderId="2" xfId="0" applyNumberFormat="1" applyBorder="1" applyAlignment="1" applyProtection="1"/>
    <xf numFmtId="0" fontId="0" fillId="6" borderId="2" xfId="0" applyFill="1" applyBorder="1" applyAlignment="1" applyProtection="1">
      <alignment horizontal="center"/>
    </xf>
    <xf numFmtId="0" fontId="0" fillId="7" borderId="2" xfId="0" applyFont="1" applyFill="1" applyBorder="1" applyAlignment="1" applyProtection="1">
      <alignment horizontal="center"/>
    </xf>
    <xf numFmtId="0" fontId="0" fillId="7" borderId="2" xfId="0" applyFont="1" applyFill="1" applyBorder="1" applyAlignment="1" applyProtection="1"/>
    <xf numFmtId="164" fontId="0" fillId="0" borderId="2" xfId="0" applyNumberFormat="1" applyBorder="1" applyAlignment="1" applyProtection="1"/>
    <xf numFmtId="1" fontId="0" fillId="7" borderId="1" xfId="0" applyNumberFormat="1" applyFill="1" applyBorder="1" applyAlignment="1" applyProtection="1"/>
    <xf numFmtId="2" fontId="0" fillId="7" borderId="0" xfId="0" applyNumberFormat="1" applyFill="1" applyAlignment="1" applyProtection="1"/>
    <xf numFmtId="0" fontId="0" fillId="8" borderId="0" xfId="0" applyFill="1" applyAlignment="1" applyProtection="1"/>
    <xf numFmtId="165" fontId="0" fillId="0" borderId="2" xfId="0" applyNumberFormat="1" applyBorder="1" applyAlignment="1" applyProtection="1"/>
    <xf numFmtId="0" fontId="0" fillId="9" borderId="0" xfId="0" applyFill="1" applyAlignment="1" applyProtection="1"/>
    <xf numFmtId="0" fontId="0" fillId="10" borderId="0" xfId="0" applyFill="1" applyAlignment="1" applyProtection="1"/>
    <xf numFmtId="0" fontId="0" fillId="11" borderId="0" xfId="0" applyFill="1" applyAlignment="1" applyProtection="1"/>
    <xf numFmtId="0" fontId="0" fillId="12" borderId="0" xfId="0" applyFill="1" applyAlignment="1" applyProtection="1"/>
    <xf numFmtId="0" fontId="0" fillId="13" borderId="0" xfId="0" applyFill="1" applyAlignment="1" applyProtection="1"/>
    <xf numFmtId="0" fontId="0" fillId="14" borderId="0" xfId="0" applyFill="1" applyAlignment="1" applyProtection="1"/>
    <xf numFmtId="0" fontId="0" fillId="0" borderId="5" xfId="0" applyBorder="1" applyAlignment="1" applyProtection="1"/>
    <xf numFmtId="0" fontId="0" fillId="0" borderId="6" xfId="0" applyBorder="1" applyAlignment="1" applyProtection="1"/>
    <xf numFmtId="165" fontId="0" fillId="0" borderId="7" xfId="0" applyNumberFormat="1" applyBorder="1" applyAlignment="1" applyProtection="1"/>
    <xf numFmtId="165" fontId="0" fillId="0" borderId="8" xfId="0" applyNumberFormat="1" applyBorder="1" applyAlignment="1" applyProtection="1"/>
    <xf numFmtId="0" fontId="0" fillId="0" borderId="8" xfId="0" applyBorder="1" applyAlignment="1" applyProtection="1"/>
    <xf numFmtId="0" fontId="0" fillId="0" borderId="9" xfId="0" applyBorder="1" applyAlignment="1" applyProtection="1"/>
    <xf numFmtId="0" fontId="0" fillId="0" borderId="10" xfId="0" applyBorder="1" applyAlignment="1" applyProtection="1"/>
    <xf numFmtId="0" fontId="6" fillId="0" borderId="11" xfId="0" applyFont="1" applyBorder="1" applyAlignment="1" applyProtection="1">
      <alignment horizontal="center"/>
    </xf>
    <xf numFmtId="2" fontId="0" fillId="0" borderId="0" xfId="0" applyNumberFormat="1" applyBorder="1" applyAlignment="1" applyProtection="1"/>
    <xf numFmtId="0" fontId="0" fillId="0" borderId="0" xfId="0" applyBorder="1" applyAlignment="1" applyProtection="1"/>
    <xf numFmtId="0" fontId="0" fillId="0" borderId="12" xfId="0" applyFont="1" applyBorder="1" applyAlignment="1" applyProtection="1"/>
    <xf numFmtId="0" fontId="0" fillId="0" borderId="0" xfId="0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1" fontId="0" fillId="0" borderId="3" xfId="0" applyNumberFormat="1" applyFont="1" applyBorder="1" applyAlignment="1" applyProtection="1"/>
    <xf numFmtId="0" fontId="0" fillId="0" borderId="2" xfId="0" applyFont="1" applyBorder="1" applyAlignment="1" applyProtection="1">
      <alignment horizontal="center" vertical="center"/>
    </xf>
    <xf numFmtId="0" fontId="0" fillId="0" borderId="3" xfId="0" applyFont="1" applyBorder="1" applyAlignment="1" applyProtection="1">
      <alignment horizontal="center" vertical="center"/>
    </xf>
    <xf numFmtId="0" fontId="0" fillId="0" borderId="0" xfId="0" applyFont="1" applyAlignment="1" applyProtection="1">
      <alignment wrapText="1"/>
    </xf>
    <xf numFmtId="0" fontId="0" fillId="15" borderId="0" xfId="0" applyFont="1" applyFill="1" applyAlignment="1" applyProtection="1">
      <alignment wrapText="1"/>
    </xf>
    <xf numFmtId="0" fontId="0" fillId="16" borderId="0" xfId="0" applyFont="1" applyFill="1" applyAlignment="1" applyProtection="1">
      <alignment wrapText="1"/>
    </xf>
    <xf numFmtId="0" fontId="0" fillId="17" borderId="0" xfId="0" applyFont="1" applyFill="1" applyAlignment="1" applyProtection="1">
      <alignment wrapText="1"/>
    </xf>
    <xf numFmtId="0" fontId="0" fillId="18" borderId="0" xfId="0" applyFont="1" applyFill="1" applyAlignment="1" applyProtection="1">
      <alignment wrapText="1"/>
    </xf>
    <xf numFmtId="2" fontId="4" fillId="15" borderId="2" xfId="0" applyNumberFormat="1" applyFont="1" applyFill="1" applyBorder="1" applyAlignment="1" applyProtection="1"/>
    <xf numFmtId="164" fontId="4" fillId="0" borderId="2" xfId="0" applyNumberFormat="1" applyFont="1" applyBorder="1" applyAlignment="1" applyProtection="1"/>
    <xf numFmtId="164" fontId="0" fillId="15" borderId="0" xfId="0" applyNumberFormat="1" applyFill="1" applyAlignment="1" applyProtection="1"/>
    <xf numFmtId="0" fontId="7" fillId="0" borderId="2" xfId="0" applyFont="1" applyBorder="1" applyAlignment="1" applyProtection="1"/>
    <xf numFmtId="164" fontId="0" fillId="6" borderId="2" xfId="0" applyNumberFormat="1" applyFill="1" applyBorder="1" applyAlignment="1" applyProtection="1">
      <alignment horizontal="center"/>
    </xf>
    <xf numFmtId="166" fontId="0" fillId="0" borderId="0" xfId="0" applyNumberFormat="1" applyAlignment="1" applyProtection="1"/>
    <xf numFmtId="164" fontId="7" fillId="0" borderId="2" xfId="0" applyNumberFormat="1" applyFont="1" applyBorder="1" applyAlignment="1" applyProtection="1"/>
    <xf numFmtId="1" fontId="0" fillId="19" borderId="2" xfId="0" applyNumberFormat="1" applyFill="1" applyBorder="1" applyAlignment="1" applyProtection="1"/>
    <xf numFmtId="164" fontId="0" fillId="7" borderId="0" xfId="0" applyNumberFormat="1" applyFill="1" applyAlignment="1" applyProtection="1"/>
    <xf numFmtId="0" fontId="0" fillId="20" borderId="0" xfId="0" applyFont="1" applyFill="1" applyAlignment="1" applyProtection="1">
      <alignment wrapText="1"/>
    </xf>
    <xf numFmtId="164" fontId="0" fillId="7" borderId="1" xfId="0" applyNumberFormat="1" applyFill="1" applyBorder="1" applyAlignment="1" applyProtection="1"/>
    <xf numFmtId="1" fontId="0" fillId="11" borderId="0" xfId="0" applyNumberFormat="1" applyFill="1" applyAlignment="1" applyProtection="1"/>
    <xf numFmtId="1" fontId="0" fillId="8" borderId="0" xfId="0" applyNumberFormat="1" applyFill="1" applyAlignment="1" applyProtection="1"/>
    <xf numFmtId="1" fontId="0" fillId="12" borderId="0" xfId="0" applyNumberFormat="1" applyFill="1" applyAlignment="1" applyProtection="1"/>
    <xf numFmtId="1" fontId="0" fillId="2" borderId="0" xfId="0" applyNumberFormat="1" applyFill="1" applyAlignment="1" applyProtection="1"/>
    <xf numFmtId="1" fontId="0" fillId="14" borderId="0" xfId="0" applyNumberFormat="1" applyFill="1" applyAlignment="1" applyProtection="1"/>
    <xf numFmtId="0" fontId="0" fillId="21" borderId="0" xfId="0" applyFont="1" applyFill="1" applyAlignment="1" applyProtection="1">
      <alignment wrapText="1"/>
    </xf>
    <xf numFmtId="1" fontId="0" fillId="3" borderId="0" xfId="0" applyNumberFormat="1" applyFill="1" applyAlignment="1" applyProtection="1"/>
    <xf numFmtId="1" fontId="0" fillId="13" borderId="0" xfId="0" applyNumberFormat="1" applyFill="1" applyAlignment="1" applyProtection="1"/>
    <xf numFmtId="164" fontId="1" fillId="0" borderId="0" xfId="0" applyNumberFormat="1" applyFont="1" applyAlignment="1" applyProtection="1"/>
    <xf numFmtId="0" fontId="0" fillId="22" borderId="0" xfId="0" applyFill="1" applyAlignment="1" applyProtection="1"/>
    <xf numFmtId="164" fontId="0" fillId="0" borderId="0" xfId="0" applyNumberFormat="1" applyFont="1" applyAlignment="1" applyProtection="1">
      <alignment horizontal="right"/>
    </xf>
    <xf numFmtId="0" fontId="0" fillId="22" borderId="6" xfId="0" applyFill="1" applyBorder="1" applyAlignment="1" applyProtection="1"/>
    <xf numFmtId="165" fontId="0" fillId="22" borderId="7" xfId="0" applyNumberFormat="1" applyFill="1" applyBorder="1" applyAlignment="1" applyProtection="1"/>
    <xf numFmtId="0" fontId="0" fillId="0" borderId="0" xfId="0" applyFont="1" applyAlignment="1" applyProtection="1">
      <alignment horizontal="right"/>
    </xf>
    <xf numFmtId="165" fontId="0" fillId="22" borderId="8" xfId="0" applyNumberFormat="1" applyFill="1" applyBorder="1" applyAlignment="1" applyProtection="1"/>
    <xf numFmtId="164" fontId="0" fillId="22" borderId="0" xfId="0" applyNumberFormat="1" applyFill="1" applyAlignment="1" applyProtection="1"/>
    <xf numFmtId="0" fontId="0" fillId="22" borderId="1" xfId="0" applyFill="1" applyBorder="1" applyAlignment="1" applyProtection="1"/>
    <xf numFmtId="0" fontId="0" fillId="23" borderId="0" xfId="0" applyFill="1" applyAlignment="1" applyProtection="1"/>
    <xf numFmtId="0" fontId="8" fillId="0" borderId="0" xfId="0" applyFont="1" applyAlignment="1" applyProtection="1">
      <alignment wrapText="1"/>
    </xf>
    <xf numFmtId="164" fontId="10" fillId="0" borderId="0" xfId="0" applyNumberFormat="1" applyFont="1" applyAlignment="1" applyProtection="1"/>
    <xf numFmtId="0" fontId="10" fillId="0" borderId="0" xfId="0" applyFont="1" applyAlignment="1" applyProtection="1"/>
    <xf numFmtId="0" fontId="0" fillId="22" borderId="8" xfId="0" applyFill="1" applyBorder="1" applyAlignment="1" applyProtection="1"/>
    <xf numFmtId="0" fontId="0" fillId="22" borderId="9" xfId="0" applyFill="1" applyBorder="1" applyAlignment="1" applyProtection="1"/>
    <xf numFmtId="0" fontId="0" fillId="22" borderId="10" xfId="0" applyFill="1" applyBorder="1" applyAlignment="1" applyProtection="1"/>
    <xf numFmtId="2" fontId="0" fillId="22" borderId="0" xfId="0" applyNumberFormat="1" applyFill="1" applyAlignment="1" applyProtection="1"/>
    <xf numFmtId="2" fontId="0" fillId="22" borderId="2" xfId="0" applyNumberFormat="1" applyFill="1" applyBorder="1" applyAlignment="1" applyProtection="1"/>
    <xf numFmtId="0" fontId="0" fillId="24" borderId="0" xfId="0" applyFont="1" applyFill="1" applyAlignment="1" applyProtection="1">
      <alignment wrapText="1"/>
    </xf>
    <xf numFmtId="0" fontId="0" fillId="25" borderId="0" xfId="0" applyFont="1" applyFill="1" applyAlignment="1" applyProtection="1">
      <alignment wrapText="1"/>
    </xf>
    <xf numFmtId="165" fontId="0" fillId="22" borderId="2" xfId="0" applyNumberFormat="1" applyFill="1" applyBorder="1" applyAlignment="1" applyProtection="1"/>
    <xf numFmtId="0" fontId="0" fillId="22" borderId="2" xfId="0" applyFill="1" applyBorder="1" applyAlignment="1" applyProtection="1"/>
    <xf numFmtId="1" fontId="11" fillId="15" borderId="0" xfId="0" applyNumberFormat="1" applyFont="1" applyFill="1" applyAlignment="1" applyProtection="1"/>
    <xf numFmtId="1" fontId="0" fillId="15" borderId="0" xfId="0" applyNumberFormat="1" applyFill="1" applyAlignment="1" applyProtection="1"/>
    <xf numFmtId="165" fontId="0" fillId="22" borderId="0" xfId="0" applyNumberFormat="1" applyFill="1" applyAlignment="1" applyProtection="1"/>
    <xf numFmtId="2" fontId="0" fillId="23" borderId="0" xfId="0" applyNumberFormat="1" applyFill="1" applyAlignment="1" applyProtection="1"/>
    <xf numFmtId="165" fontId="0" fillId="23" borderId="0" xfId="0" applyNumberFormat="1" applyFill="1" applyAlignment="1" applyProtection="1"/>
    <xf numFmtId="164" fontId="0" fillId="23" borderId="0" xfId="0" applyNumberFormat="1" applyFill="1" applyAlignment="1" applyProtection="1"/>
    <xf numFmtId="0" fontId="0" fillId="23" borderId="1" xfId="0" applyFill="1" applyBorder="1" applyAlignment="1" applyProtection="1"/>
    <xf numFmtId="1" fontId="0" fillId="0" borderId="2" xfId="0" applyNumberForma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EEEEEE"/>
      <rgbColor rgb="FF800000"/>
      <rgbColor rgb="FF008000"/>
      <rgbColor rgb="FF000080"/>
      <rgbColor rgb="FF5F6368"/>
      <rgbColor rgb="FF800080"/>
      <rgbColor rgb="FF008080"/>
      <rgbColor rgb="FFC0C0C0"/>
      <rgbColor rgb="FF808080"/>
      <rgbColor rgb="FF5B9BD5"/>
      <rgbColor rgb="FF993366"/>
      <rgbColor rgb="FFFFF5CE"/>
      <rgbColor rgb="FFCCFFFF"/>
      <rgbColor rgb="FF660066"/>
      <rgbColor rgb="FFBF819E"/>
      <rgbColor rgb="FF0066CC"/>
      <rgbColor rgb="FFD9D9D9"/>
      <rgbColor rgb="FF000080"/>
      <rgbColor rgb="FFFF00FF"/>
      <rgbColor rgb="FFE8F2A1"/>
      <rgbColor rgb="FF00FFFF"/>
      <rgbColor rgb="FF800080"/>
      <rgbColor rgb="FF800000"/>
      <rgbColor rgb="FF008080"/>
      <rgbColor rgb="FF0000FF"/>
      <rgbColor rgb="FF00CCFF"/>
      <rgbColor rgb="FFDEE6EF"/>
      <rgbColor rgb="FFCCFFCC"/>
      <rgbColor rgb="FFFFFF99"/>
      <rgbColor rgb="FFBFBFBF"/>
      <rgbColor rgb="FFFF99CC"/>
      <rgbColor rgb="FF8B8B8B"/>
      <rgbColor rgb="FFFFCC99"/>
      <rgbColor rgb="FF3366FF"/>
      <rgbColor rgb="FF33CCCC"/>
      <rgbColor rgb="FF99CC00"/>
      <rgbColor rgb="FFFFCC00"/>
      <rgbColor rgb="FFFFDBB6"/>
      <rgbColor rgb="FFFFD8CE"/>
      <rgbColor rgb="FF666699"/>
      <rgbColor rgb="FF969696"/>
      <rgbColor rgb="FF003366"/>
      <rgbColor rgb="FF00B050"/>
      <rgbColor rgb="FF003300"/>
      <rgbColor rgb="FF333300"/>
      <rgbColor rgb="FF993300"/>
      <rgbColor rgb="FF595959"/>
      <rgbColor rgb="FF4D5156"/>
      <rgbColor rgb="FF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Open Sans"/>
              </a:defRPr>
            </a:pPr>
            <a:r>
              <a:rPr lang="ru-RU" sz="1800" b="1" u="none" strike="noStrike">
                <a:solidFill>
                  <a:srgbClr val="000000"/>
                </a:solidFill>
                <a:uFillTx/>
                <a:latin typeface="Calibri"/>
              </a:rPr>
              <a:t>Гистограмма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Лист6!$A$2:$A$10</c:f>
              <c:strCache>
                <c:ptCount val="9"/>
                <c:pt idx="0">
                  <c:v>153,25</c:v>
                </c:pt>
                <c:pt idx="1">
                  <c:v>158,50</c:v>
                </c:pt>
                <c:pt idx="2">
                  <c:v>163,75</c:v>
                </c:pt>
                <c:pt idx="3">
                  <c:v>169,00</c:v>
                </c:pt>
                <c:pt idx="4">
                  <c:v>174,25</c:v>
                </c:pt>
                <c:pt idx="5">
                  <c:v>179,50</c:v>
                </c:pt>
                <c:pt idx="6">
                  <c:v>184,75</c:v>
                </c:pt>
                <c:pt idx="7">
                  <c:v>190,00</c:v>
                </c:pt>
                <c:pt idx="8">
                  <c:v>Еще</c:v>
                </c:pt>
              </c:strCache>
            </c:strRef>
          </c:cat>
          <c:val>
            <c:numRef>
              <c:f>Лист6!$B$2:$B$10</c:f>
              <c:numCache>
                <c:formatCode>General</c:formatCode>
                <c:ptCount val="9"/>
                <c:pt idx="0">
                  <c:v>1</c:v>
                </c:pt>
                <c:pt idx="1">
                  <c:v>4</c:v>
                </c:pt>
                <c:pt idx="2">
                  <c:v>13</c:v>
                </c:pt>
                <c:pt idx="3">
                  <c:v>36</c:v>
                </c:pt>
                <c:pt idx="4">
                  <c:v>24</c:v>
                </c:pt>
                <c:pt idx="5">
                  <c:v>15</c:v>
                </c:pt>
                <c:pt idx="6">
                  <c:v>3</c:v>
                </c:pt>
                <c:pt idx="7">
                  <c:v>4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1224320"/>
        <c:axId val="92012928"/>
      </c:barChart>
      <c:catAx>
        <c:axId val="912243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Open Sans"/>
                  </a:defRPr>
                </a:pP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Карман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92012928"/>
        <c:crosses val="autoZero"/>
        <c:auto val="1"/>
        <c:lblAlgn val="ctr"/>
        <c:lblOffset val="100"/>
        <c:noMultiLvlLbl val="0"/>
      </c:catAx>
      <c:valAx>
        <c:axId val="9201292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Open Sans"/>
                  </a:defRPr>
                </a:pP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Частота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912243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Open Sans"/>
              </a:defRPr>
            </a:pPr>
            <a:r>
              <a:rPr lang="ru-RU" sz="1800" b="1" u="none" strike="noStrike">
                <a:solidFill>
                  <a:srgbClr val="000000"/>
                </a:solidFill>
                <a:uFillTx/>
                <a:latin typeface="Calibri"/>
              </a:rPr>
              <a:t>Полигон</a:t>
            </a:r>
          </a:p>
        </c:rich>
      </c:tx>
      <c:layout>
        <c:manualLayout>
          <c:xMode val="edge"/>
          <c:yMode val="edge"/>
          <c:x val="0.40022615906520898"/>
          <c:y val="4.3633952254641901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2.39728609121749E-2"/>
          <c:y val="0.164456233421751"/>
          <c:w val="0.75567282321899698"/>
          <c:h val="0.83527851458885904"/>
        </c:manualLayout>
      </c:layout>
      <c:lineChart>
        <c:grouping val="standard"/>
        <c:varyColors val="0"/>
        <c:ser>
          <c:idx val="0"/>
          <c:order val="0"/>
          <c:tx>
            <c:v>Полигон</c:v>
          </c:tx>
          <c:spPr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в7!$K$7:$K$14</c:f>
              <c:numCache>
                <c:formatCode>0.00</c:formatCode>
                <c:ptCount val="8"/>
                <c:pt idx="0">
                  <c:v>157.5</c:v>
                </c:pt>
                <c:pt idx="1">
                  <c:v>160.5</c:v>
                </c:pt>
                <c:pt idx="2">
                  <c:v>163.5</c:v>
                </c:pt>
                <c:pt idx="3">
                  <c:v>166.5</c:v>
                </c:pt>
                <c:pt idx="4">
                  <c:v>169.5</c:v>
                </c:pt>
                <c:pt idx="5">
                  <c:v>172.5</c:v>
                </c:pt>
                <c:pt idx="6">
                  <c:v>175.5</c:v>
                </c:pt>
                <c:pt idx="7">
                  <c:v>178.5</c:v>
                </c:pt>
              </c:numCache>
            </c:numRef>
          </c:cat>
          <c:val>
            <c:numRef>
              <c:f>в7!$L$7:$L$14</c:f>
              <c:numCache>
                <c:formatCode>General</c:formatCode>
                <c:ptCount val="8"/>
                <c:pt idx="0">
                  <c:v>0.04</c:v>
                </c:pt>
                <c:pt idx="1">
                  <c:v>0.06</c:v>
                </c:pt>
                <c:pt idx="2">
                  <c:v>0.14000000000000001</c:v>
                </c:pt>
                <c:pt idx="3">
                  <c:v>0.24</c:v>
                </c:pt>
                <c:pt idx="4">
                  <c:v>0.19</c:v>
                </c:pt>
                <c:pt idx="5">
                  <c:v>0.2</c:v>
                </c:pt>
                <c:pt idx="6">
                  <c:v>0.08</c:v>
                </c:pt>
                <c:pt idx="7">
                  <c:v>0.05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3874048"/>
        <c:axId val="93875584"/>
      </c:lineChart>
      <c:catAx>
        <c:axId val="93874048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93875584"/>
        <c:crossesAt val="0"/>
        <c:auto val="1"/>
        <c:lblAlgn val="ctr"/>
        <c:lblOffset val="100"/>
        <c:noMultiLvlLbl val="0"/>
      </c:catAx>
      <c:valAx>
        <c:axId val="93875584"/>
        <c:scaling>
          <c:orientation val="minMax"/>
        </c:scaling>
        <c:delete val="0"/>
        <c:axPos val="l"/>
        <c:majorGridlines>
          <c:spPr>
            <a:ln w="6480">
              <a:solidFill>
                <a:srgbClr val="808080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93874048"/>
        <c:crossesAt val="1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9167911562593396"/>
          <c:y val="0.52684608246055897"/>
          <c:w val="0.17388706304153001"/>
          <c:h val="7.94113747845685E-2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80808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Open Sans"/>
              </a:defRPr>
            </a:pPr>
            <a:r>
              <a:rPr lang="ru-RU" sz="1800" b="1" u="none" strike="noStrike">
                <a:solidFill>
                  <a:srgbClr val="000000"/>
                </a:solidFill>
                <a:uFillTx/>
                <a:latin typeface="Calibri"/>
              </a:rPr>
              <a:t>Кумулята</a:t>
            </a:r>
          </a:p>
        </c:rich>
      </c:tx>
      <c:layout>
        <c:manualLayout>
          <c:xMode val="edge"/>
          <c:yMode val="edge"/>
          <c:x val="0.34998458217699702"/>
          <c:y val="7.48455024032960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3.7516702641586998E-2"/>
          <c:y val="0"/>
          <c:w val="0.76667694521533603"/>
          <c:h val="0.999542229343099"/>
        </c:manualLayout>
      </c:layout>
      <c:lineChart>
        <c:grouping val="standard"/>
        <c:varyColors val="0"/>
        <c:ser>
          <c:idx val="0"/>
          <c:order val="0"/>
          <c:tx>
            <c:v>Кумулята</c:v>
          </c:tx>
          <c:spPr>
            <a:ln w="25200">
              <a:solidFill>
                <a:srgbClr val="FF0000"/>
              </a:solidFill>
              <a:round/>
            </a:ln>
          </c:spPr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в7!$K$7:$K$14</c:f>
              <c:numCache>
                <c:formatCode>0.00</c:formatCode>
                <c:ptCount val="8"/>
                <c:pt idx="0">
                  <c:v>157.5</c:v>
                </c:pt>
                <c:pt idx="1">
                  <c:v>160.5</c:v>
                </c:pt>
                <c:pt idx="2">
                  <c:v>163.5</c:v>
                </c:pt>
                <c:pt idx="3">
                  <c:v>166.5</c:v>
                </c:pt>
                <c:pt idx="4">
                  <c:v>169.5</c:v>
                </c:pt>
                <c:pt idx="5">
                  <c:v>172.5</c:v>
                </c:pt>
                <c:pt idx="6">
                  <c:v>175.5</c:v>
                </c:pt>
                <c:pt idx="7">
                  <c:v>178.5</c:v>
                </c:pt>
              </c:numCache>
            </c:numRef>
          </c:cat>
          <c:val>
            <c:numRef>
              <c:f>в7!$M$7:$M$14</c:f>
              <c:numCache>
                <c:formatCode>General</c:formatCode>
                <c:ptCount val="8"/>
                <c:pt idx="0">
                  <c:v>0.04</c:v>
                </c:pt>
                <c:pt idx="1">
                  <c:v>0.1</c:v>
                </c:pt>
                <c:pt idx="2">
                  <c:v>0.24</c:v>
                </c:pt>
                <c:pt idx="3">
                  <c:v>0.48</c:v>
                </c:pt>
                <c:pt idx="4">
                  <c:v>0.67</c:v>
                </c:pt>
                <c:pt idx="5">
                  <c:v>0.87</c:v>
                </c:pt>
                <c:pt idx="6">
                  <c:v>0.95</c:v>
                </c:pt>
                <c:pt idx="7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4507392"/>
        <c:axId val="94508928"/>
      </c:lineChart>
      <c:catAx>
        <c:axId val="94507392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6480">
            <a:solidFill>
              <a:srgbClr val="808080"/>
            </a:solidFill>
            <a:round/>
          </a:ln>
        </c:spPr>
        <c:txPr>
          <a:bodyPr rot="-2700000"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94508928"/>
        <c:crossesAt val="0"/>
        <c:auto val="1"/>
        <c:lblAlgn val="ctr"/>
        <c:lblOffset val="100"/>
        <c:noMultiLvlLbl val="0"/>
      </c:catAx>
      <c:valAx>
        <c:axId val="94508928"/>
        <c:scaling>
          <c:orientation val="minMax"/>
        </c:scaling>
        <c:delete val="0"/>
        <c:axPos val="l"/>
        <c:majorGridlines>
          <c:spPr>
            <a:ln w="6480">
              <a:solidFill>
                <a:srgbClr val="808080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94507392"/>
        <c:crossesAt val="1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0511637444888797"/>
          <c:y val="0.54557947778286797"/>
          <c:w val="0.25315287603814202"/>
          <c:h val="0.13719651855245099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80808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2985663354320005E-2"/>
          <c:y val="4.7674720706677103E-2"/>
          <c:w val="0.56421148448759795"/>
          <c:h val="0.85437776045726199"/>
        </c:manualLayout>
      </c:layout>
      <c:scatterChart>
        <c:scatterStyle val="lineMarker"/>
        <c:varyColors val="0"/>
        <c:ser>
          <c:idx val="0"/>
          <c:order val="0"/>
          <c:spPr>
            <a:ln w="12600">
              <a:noFill/>
            </a:ln>
          </c:spPr>
          <c:marker>
            <c:symbol val="diamond"/>
            <c:size val="7"/>
            <c:spPr>
              <a:solidFill>
                <a:srgbClr val="666699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648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в7!$A$2:$A$101</c:f>
              <c:numCache>
                <c:formatCode>General</c:formatCode>
                <c:ptCount val="100"/>
                <c:pt idx="0">
                  <c:v>174</c:v>
                </c:pt>
                <c:pt idx="1">
                  <c:v>166</c:v>
                </c:pt>
                <c:pt idx="2">
                  <c:v>161</c:v>
                </c:pt>
                <c:pt idx="3">
                  <c:v>172</c:v>
                </c:pt>
                <c:pt idx="4">
                  <c:v>166</c:v>
                </c:pt>
                <c:pt idx="5">
                  <c:v>169</c:v>
                </c:pt>
                <c:pt idx="6">
                  <c:v>168</c:v>
                </c:pt>
                <c:pt idx="7">
                  <c:v>167</c:v>
                </c:pt>
                <c:pt idx="8">
                  <c:v>178</c:v>
                </c:pt>
                <c:pt idx="9">
                  <c:v>165</c:v>
                </c:pt>
                <c:pt idx="10">
                  <c:v>175</c:v>
                </c:pt>
                <c:pt idx="11">
                  <c:v>165</c:v>
                </c:pt>
                <c:pt idx="12">
                  <c:v>172</c:v>
                </c:pt>
                <c:pt idx="13">
                  <c:v>173</c:v>
                </c:pt>
                <c:pt idx="14">
                  <c:v>167</c:v>
                </c:pt>
                <c:pt idx="15">
                  <c:v>163</c:v>
                </c:pt>
                <c:pt idx="16">
                  <c:v>173</c:v>
                </c:pt>
                <c:pt idx="17">
                  <c:v>164</c:v>
                </c:pt>
                <c:pt idx="18">
                  <c:v>170</c:v>
                </c:pt>
                <c:pt idx="19">
                  <c:v>164</c:v>
                </c:pt>
                <c:pt idx="20">
                  <c:v>170</c:v>
                </c:pt>
                <c:pt idx="21">
                  <c:v>180</c:v>
                </c:pt>
                <c:pt idx="22">
                  <c:v>176</c:v>
                </c:pt>
                <c:pt idx="23">
                  <c:v>173</c:v>
                </c:pt>
                <c:pt idx="24">
                  <c:v>168</c:v>
                </c:pt>
                <c:pt idx="25">
                  <c:v>161</c:v>
                </c:pt>
                <c:pt idx="26">
                  <c:v>164</c:v>
                </c:pt>
                <c:pt idx="27">
                  <c:v>167</c:v>
                </c:pt>
                <c:pt idx="28">
                  <c:v>176</c:v>
                </c:pt>
                <c:pt idx="29">
                  <c:v>165</c:v>
                </c:pt>
                <c:pt idx="30">
                  <c:v>166</c:v>
                </c:pt>
                <c:pt idx="31">
                  <c:v>175</c:v>
                </c:pt>
                <c:pt idx="32">
                  <c:v>164</c:v>
                </c:pt>
                <c:pt idx="33">
                  <c:v>171</c:v>
                </c:pt>
                <c:pt idx="34">
                  <c:v>174</c:v>
                </c:pt>
                <c:pt idx="35">
                  <c:v>167</c:v>
                </c:pt>
                <c:pt idx="36">
                  <c:v>169</c:v>
                </c:pt>
                <c:pt idx="37">
                  <c:v>162</c:v>
                </c:pt>
                <c:pt idx="38">
                  <c:v>169</c:v>
                </c:pt>
                <c:pt idx="39">
                  <c:v>173</c:v>
                </c:pt>
                <c:pt idx="40">
                  <c:v>172</c:v>
                </c:pt>
                <c:pt idx="41">
                  <c:v>164</c:v>
                </c:pt>
                <c:pt idx="42">
                  <c:v>170</c:v>
                </c:pt>
                <c:pt idx="43">
                  <c:v>167</c:v>
                </c:pt>
                <c:pt idx="44">
                  <c:v>166</c:v>
                </c:pt>
                <c:pt idx="45">
                  <c:v>156</c:v>
                </c:pt>
                <c:pt idx="46">
                  <c:v>166</c:v>
                </c:pt>
                <c:pt idx="47">
                  <c:v>156</c:v>
                </c:pt>
                <c:pt idx="48">
                  <c:v>169</c:v>
                </c:pt>
                <c:pt idx="49">
                  <c:v>165</c:v>
                </c:pt>
                <c:pt idx="50">
                  <c:v>172</c:v>
                </c:pt>
                <c:pt idx="51">
                  <c:v>178</c:v>
                </c:pt>
                <c:pt idx="52">
                  <c:v>170</c:v>
                </c:pt>
                <c:pt idx="53">
                  <c:v>167</c:v>
                </c:pt>
                <c:pt idx="54">
                  <c:v>166</c:v>
                </c:pt>
                <c:pt idx="55">
                  <c:v>163</c:v>
                </c:pt>
                <c:pt idx="56">
                  <c:v>157</c:v>
                </c:pt>
                <c:pt idx="57">
                  <c:v>173</c:v>
                </c:pt>
                <c:pt idx="58">
                  <c:v>176</c:v>
                </c:pt>
                <c:pt idx="59">
                  <c:v>167</c:v>
                </c:pt>
                <c:pt idx="60">
                  <c:v>168</c:v>
                </c:pt>
                <c:pt idx="61">
                  <c:v>172</c:v>
                </c:pt>
                <c:pt idx="62">
                  <c:v>168</c:v>
                </c:pt>
                <c:pt idx="63">
                  <c:v>177</c:v>
                </c:pt>
                <c:pt idx="64">
                  <c:v>163</c:v>
                </c:pt>
                <c:pt idx="65">
                  <c:v>169</c:v>
                </c:pt>
                <c:pt idx="66">
                  <c:v>173</c:v>
                </c:pt>
                <c:pt idx="67">
                  <c:v>178</c:v>
                </c:pt>
                <c:pt idx="68">
                  <c:v>171</c:v>
                </c:pt>
                <c:pt idx="69">
                  <c:v>161</c:v>
                </c:pt>
                <c:pt idx="70">
                  <c:v>162</c:v>
                </c:pt>
                <c:pt idx="71">
                  <c:v>167</c:v>
                </c:pt>
                <c:pt idx="72">
                  <c:v>174</c:v>
                </c:pt>
                <c:pt idx="73">
                  <c:v>167</c:v>
                </c:pt>
                <c:pt idx="74">
                  <c:v>169</c:v>
                </c:pt>
                <c:pt idx="75">
                  <c:v>176</c:v>
                </c:pt>
                <c:pt idx="76">
                  <c:v>170</c:v>
                </c:pt>
                <c:pt idx="77">
                  <c:v>168</c:v>
                </c:pt>
                <c:pt idx="78">
                  <c:v>172</c:v>
                </c:pt>
                <c:pt idx="79">
                  <c:v>164</c:v>
                </c:pt>
                <c:pt idx="80">
                  <c:v>178</c:v>
                </c:pt>
                <c:pt idx="81">
                  <c:v>172</c:v>
                </c:pt>
                <c:pt idx="82">
                  <c:v>171</c:v>
                </c:pt>
                <c:pt idx="83">
                  <c:v>167</c:v>
                </c:pt>
                <c:pt idx="84">
                  <c:v>170</c:v>
                </c:pt>
                <c:pt idx="85">
                  <c:v>170</c:v>
                </c:pt>
                <c:pt idx="86">
                  <c:v>167</c:v>
                </c:pt>
                <c:pt idx="87">
                  <c:v>171</c:v>
                </c:pt>
                <c:pt idx="88">
                  <c:v>168</c:v>
                </c:pt>
                <c:pt idx="89">
                  <c:v>173</c:v>
                </c:pt>
                <c:pt idx="90">
                  <c:v>173</c:v>
                </c:pt>
                <c:pt idx="91">
                  <c:v>170</c:v>
                </c:pt>
                <c:pt idx="92">
                  <c:v>172</c:v>
                </c:pt>
                <c:pt idx="93">
                  <c:v>162</c:v>
                </c:pt>
                <c:pt idx="94">
                  <c:v>171</c:v>
                </c:pt>
                <c:pt idx="95">
                  <c:v>173</c:v>
                </c:pt>
                <c:pt idx="96">
                  <c:v>156</c:v>
                </c:pt>
                <c:pt idx="97">
                  <c:v>168</c:v>
                </c:pt>
                <c:pt idx="98">
                  <c:v>176</c:v>
                </c:pt>
                <c:pt idx="99">
                  <c:v>164</c:v>
                </c:pt>
              </c:numCache>
            </c:numRef>
          </c:xVal>
          <c:yVal>
            <c:numRef>
              <c:f>в7!$B$1:$B$100</c:f>
              <c:numCache>
                <c:formatCode>General</c:formatCode>
                <c:ptCount val="100"/>
                <c:pt idx="0" formatCode="0">
                  <c:v>0</c:v>
                </c:pt>
                <c:pt idx="1">
                  <c:v>70</c:v>
                </c:pt>
                <c:pt idx="2">
                  <c:v>57</c:v>
                </c:pt>
                <c:pt idx="3">
                  <c:v>55</c:v>
                </c:pt>
                <c:pt idx="4">
                  <c:v>60</c:v>
                </c:pt>
                <c:pt idx="5">
                  <c:v>57</c:v>
                </c:pt>
                <c:pt idx="6">
                  <c:v>62</c:v>
                </c:pt>
                <c:pt idx="7">
                  <c:v>70</c:v>
                </c:pt>
                <c:pt idx="8">
                  <c:v>65</c:v>
                </c:pt>
                <c:pt idx="9">
                  <c:v>80</c:v>
                </c:pt>
                <c:pt idx="10">
                  <c:v>68</c:v>
                </c:pt>
                <c:pt idx="11">
                  <c:v>64</c:v>
                </c:pt>
                <c:pt idx="12">
                  <c:v>55</c:v>
                </c:pt>
                <c:pt idx="13">
                  <c:v>78</c:v>
                </c:pt>
                <c:pt idx="14">
                  <c:v>65</c:v>
                </c:pt>
                <c:pt idx="15">
                  <c:v>63</c:v>
                </c:pt>
                <c:pt idx="16">
                  <c:v>67</c:v>
                </c:pt>
                <c:pt idx="17">
                  <c:v>71</c:v>
                </c:pt>
                <c:pt idx="18">
                  <c:v>68</c:v>
                </c:pt>
                <c:pt idx="19">
                  <c:v>68</c:v>
                </c:pt>
                <c:pt idx="20">
                  <c:v>60</c:v>
                </c:pt>
                <c:pt idx="21">
                  <c:v>63</c:v>
                </c:pt>
                <c:pt idx="22">
                  <c:v>73</c:v>
                </c:pt>
                <c:pt idx="23">
                  <c:v>81</c:v>
                </c:pt>
                <c:pt idx="24">
                  <c:v>74</c:v>
                </c:pt>
                <c:pt idx="25">
                  <c:v>66</c:v>
                </c:pt>
                <c:pt idx="26">
                  <c:v>55</c:v>
                </c:pt>
                <c:pt idx="27">
                  <c:v>62</c:v>
                </c:pt>
                <c:pt idx="28">
                  <c:v>61</c:v>
                </c:pt>
                <c:pt idx="29">
                  <c:v>77</c:v>
                </c:pt>
                <c:pt idx="30">
                  <c:v>55</c:v>
                </c:pt>
                <c:pt idx="31">
                  <c:v>61</c:v>
                </c:pt>
                <c:pt idx="32">
                  <c:v>66</c:v>
                </c:pt>
                <c:pt idx="33">
                  <c:v>57</c:v>
                </c:pt>
                <c:pt idx="34">
                  <c:v>65</c:v>
                </c:pt>
                <c:pt idx="35">
                  <c:v>79</c:v>
                </c:pt>
                <c:pt idx="36">
                  <c:v>71</c:v>
                </c:pt>
                <c:pt idx="37">
                  <c:v>59</c:v>
                </c:pt>
                <c:pt idx="38">
                  <c:v>52</c:v>
                </c:pt>
                <c:pt idx="39">
                  <c:v>68</c:v>
                </c:pt>
                <c:pt idx="40">
                  <c:v>66</c:v>
                </c:pt>
                <c:pt idx="41">
                  <c:v>66</c:v>
                </c:pt>
                <c:pt idx="42">
                  <c:v>60</c:v>
                </c:pt>
                <c:pt idx="43">
                  <c:v>63</c:v>
                </c:pt>
                <c:pt idx="44">
                  <c:v>65</c:v>
                </c:pt>
                <c:pt idx="45">
                  <c:v>55</c:v>
                </c:pt>
                <c:pt idx="46">
                  <c:v>54</c:v>
                </c:pt>
                <c:pt idx="47">
                  <c:v>55</c:v>
                </c:pt>
                <c:pt idx="48">
                  <c:v>54</c:v>
                </c:pt>
                <c:pt idx="49">
                  <c:v>57</c:v>
                </c:pt>
                <c:pt idx="50">
                  <c:v>55</c:v>
                </c:pt>
                <c:pt idx="51">
                  <c:v>78</c:v>
                </c:pt>
                <c:pt idx="52">
                  <c:v>60</c:v>
                </c:pt>
                <c:pt idx="53">
                  <c:v>63</c:v>
                </c:pt>
                <c:pt idx="54">
                  <c:v>61</c:v>
                </c:pt>
                <c:pt idx="55">
                  <c:v>62</c:v>
                </c:pt>
                <c:pt idx="56">
                  <c:v>60</c:v>
                </c:pt>
                <c:pt idx="57">
                  <c:v>60</c:v>
                </c:pt>
                <c:pt idx="58">
                  <c:v>66</c:v>
                </c:pt>
                <c:pt idx="59">
                  <c:v>65</c:v>
                </c:pt>
                <c:pt idx="60">
                  <c:v>62</c:v>
                </c:pt>
                <c:pt idx="61">
                  <c:v>64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68</c:v>
                </c:pt>
                <c:pt idx="66">
                  <c:v>66</c:v>
                </c:pt>
                <c:pt idx="67">
                  <c:v>77</c:v>
                </c:pt>
                <c:pt idx="68">
                  <c:v>71</c:v>
                </c:pt>
                <c:pt idx="69">
                  <c:v>64</c:v>
                </c:pt>
                <c:pt idx="70">
                  <c:v>51</c:v>
                </c:pt>
                <c:pt idx="71">
                  <c:v>65</c:v>
                </c:pt>
                <c:pt idx="72">
                  <c:v>63</c:v>
                </c:pt>
                <c:pt idx="73">
                  <c:v>68</c:v>
                </c:pt>
                <c:pt idx="74">
                  <c:v>65</c:v>
                </c:pt>
                <c:pt idx="75">
                  <c:v>61</c:v>
                </c:pt>
                <c:pt idx="76">
                  <c:v>70</c:v>
                </c:pt>
                <c:pt idx="77">
                  <c:v>67</c:v>
                </c:pt>
                <c:pt idx="78">
                  <c:v>65</c:v>
                </c:pt>
                <c:pt idx="79">
                  <c:v>59</c:v>
                </c:pt>
                <c:pt idx="80">
                  <c:v>60</c:v>
                </c:pt>
                <c:pt idx="81">
                  <c:v>80</c:v>
                </c:pt>
                <c:pt idx="82">
                  <c:v>73</c:v>
                </c:pt>
                <c:pt idx="83">
                  <c:v>65</c:v>
                </c:pt>
                <c:pt idx="84">
                  <c:v>52</c:v>
                </c:pt>
                <c:pt idx="85">
                  <c:v>61</c:v>
                </c:pt>
                <c:pt idx="86">
                  <c:v>61</c:v>
                </c:pt>
                <c:pt idx="87">
                  <c:v>57</c:v>
                </c:pt>
                <c:pt idx="88">
                  <c:v>63</c:v>
                </c:pt>
                <c:pt idx="89">
                  <c:v>58</c:v>
                </c:pt>
                <c:pt idx="90">
                  <c:v>63</c:v>
                </c:pt>
                <c:pt idx="91">
                  <c:v>72</c:v>
                </c:pt>
                <c:pt idx="92">
                  <c:v>65</c:v>
                </c:pt>
                <c:pt idx="93">
                  <c:v>70</c:v>
                </c:pt>
                <c:pt idx="94">
                  <c:v>56</c:v>
                </c:pt>
                <c:pt idx="95">
                  <c:v>63</c:v>
                </c:pt>
                <c:pt idx="96">
                  <c:v>69</c:v>
                </c:pt>
                <c:pt idx="97">
                  <c:v>54</c:v>
                </c:pt>
                <c:pt idx="98">
                  <c:v>70</c:v>
                </c:pt>
                <c:pt idx="99">
                  <c:v>70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42848"/>
        <c:axId val="94548736"/>
      </c:scatterChart>
      <c:valAx>
        <c:axId val="94542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94548736"/>
        <c:crossesAt val="0"/>
        <c:crossBetween val="midCat"/>
      </c:valAx>
      <c:valAx>
        <c:axId val="94548736"/>
        <c:scaling>
          <c:orientation val="minMax"/>
        </c:scaling>
        <c:delete val="0"/>
        <c:axPos val="l"/>
        <c:majorGridlines>
          <c:spPr>
            <a:ln w="6480">
              <a:solidFill>
                <a:srgbClr val="808080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94542848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69581634194230502"/>
          <c:y val="0.415168100078186"/>
          <c:w val="0.269068116598701"/>
          <c:h val="0.16080271045087299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80808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Open Sans"/>
              </a:defRPr>
            </a:pPr>
            <a:r>
              <a:rPr lang="ru-RU" sz="1600" b="0" u="none" strike="noStrike" spc="51">
                <a:solidFill>
                  <a:srgbClr val="595959"/>
                </a:solidFill>
                <a:uFillTx/>
                <a:latin typeface="Calibri Light"/>
              </a:rPr>
              <a:t>Эмперическое и теоретическое</a:t>
            </a:r>
          </a:p>
          <a:p>
            <a:pPr>
              <a:defRPr sz="1300" b="0" u="none" strike="noStrike">
                <a:uFillTx/>
                <a:latin typeface="Open Sans"/>
              </a:defRPr>
            </a:pPr>
            <a:endParaRPr lang="ru-RU"/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307909185339098E-2"/>
          <c:y val="0.12049876383962201"/>
          <c:w val="0.87921056536578102"/>
          <c:h val="0.76953670858862699"/>
        </c:manualLayout>
      </c:layout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5B9BD5">
                  <a:alpha val="60000"/>
                </a:srgbClr>
              </a:solidFill>
              <a:round/>
            </a:ln>
          </c:spPr>
          <c:marker>
            <c:symbol val="circle"/>
            <c:size val="6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5840" cap="rnd">
                <a:solidFill>
                  <a:srgbClr val="5B9BD5"/>
                </a:solidFill>
                <a:round/>
              </a:ln>
            </c:spPr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в7!$Y$67:$Y$74</c:f>
              <c:numCache>
                <c:formatCode>0.00</c:formatCode>
                <c:ptCount val="8"/>
                <c:pt idx="0">
                  <c:v>157.5</c:v>
                </c:pt>
                <c:pt idx="1">
                  <c:v>160.5</c:v>
                </c:pt>
                <c:pt idx="2">
                  <c:v>163.5</c:v>
                </c:pt>
                <c:pt idx="3">
                  <c:v>166.5</c:v>
                </c:pt>
                <c:pt idx="4">
                  <c:v>169.5</c:v>
                </c:pt>
                <c:pt idx="5">
                  <c:v>172.5</c:v>
                </c:pt>
                <c:pt idx="6">
                  <c:v>175.5</c:v>
                </c:pt>
                <c:pt idx="7">
                  <c:v>178.5</c:v>
                </c:pt>
              </c:numCache>
            </c:numRef>
          </c:xVal>
          <c:yVal>
            <c:numRef>
              <c:f>в7!$Z$67:$Z$74</c:f>
              <c:numCache>
                <c:formatCode>0.00</c:formatCode>
                <c:ptCount val="8"/>
                <c:pt idx="0">
                  <c:v>54.75</c:v>
                </c:pt>
                <c:pt idx="1">
                  <c:v>56.625</c:v>
                </c:pt>
                <c:pt idx="2">
                  <c:v>61.178571428571431</c:v>
                </c:pt>
                <c:pt idx="3">
                  <c:v>62.25</c:v>
                </c:pt>
                <c:pt idx="4">
                  <c:v>63.335526315789473</c:v>
                </c:pt>
                <c:pt idx="5">
                  <c:v>69.75</c:v>
                </c:pt>
                <c:pt idx="6">
                  <c:v>70.21875</c:v>
                </c:pt>
                <c:pt idx="7">
                  <c:v>72.375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22048"/>
        <c:axId val="94327936"/>
      </c:scatterChart>
      <c:valAx>
        <c:axId val="9432204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 spc="20">
                <a:solidFill>
                  <a:srgbClr val="595959"/>
                </a:solidFill>
                <a:uFillTx/>
                <a:latin typeface="Calibri"/>
              </a:defRPr>
            </a:pPr>
            <a:endParaRPr lang="ru-RU"/>
          </a:p>
        </c:txPr>
        <c:crossAx val="94327936"/>
        <c:crosses val="autoZero"/>
        <c:crossBetween val="midCat"/>
      </c:valAx>
      <c:valAx>
        <c:axId val="943279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 spc="20">
                <a:solidFill>
                  <a:srgbClr val="595959"/>
                </a:solidFill>
                <a:uFillTx/>
                <a:latin typeface="Calibri"/>
              </a:defRPr>
            </a:pPr>
            <a:endParaRPr lang="ru-RU"/>
          </a:p>
        </c:txPr>
        <c:crossAx val="9432204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Open Sans"/>
              </a:defRPr>
            </a:pPr>
            <a:r>
              <a:rPr lang="ru-RU" sz="1400" b="0" u="none" strike="noStrike">
                <a:solidFill>
                  <a:srgbClr val="595959"/>
                </a:solidFill>
                <a:uFillTx/>
                <a:latin typeface="Calibri"/>
              </a:rPr>
              <a:t>Гистограмма распределения относительных частот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в7!$A$2:$A$101</c:f>
              <c:numCache>
                <c:formatCode>General</c:formatCode>
                <c:ptCount val="100"/>
                <c:pt idx="0">
                  <c:v>174</c:v>
                </c:pt>
                <c:pt idx="1">
                  <c:v>166</c:v>
                </c:pt>
                <c:pt idx="2">
                  <c:v>161</c:v>
                </c:pt>
                <c:pt idx="3">
                  <c:v>172</c:v>
                </c:pt>
                <c:pt idx="4">
                  <c:v>166</c:v>
                </c:pt>
                <c:pt idx="5">
                  <c:v>169</c:v>
                </c:pt>
                <c:pt idx="6">
                  <c:v>168</c:v>
                </c:pt>
                <c:pt idx="7">
                  <c:v>167</c:v>
                </c:pt>
                <c:pt idx="8">
                  <c:v>178</c:v>
                </c:pt>
                <c:pt idx="9">
                  <c:v>165</c:v>
                </c:pt>
                <c:pt idx="10">
                  <c:v>175</c:v>
                </c:pt>
                <c:pt idx="11">
                  <c:v>165</c:v>
                </c:pt>
                <c:pt idx="12">
                  <c:v>172</c:v>
                </c:pt>
                <c:pt idx="13">
                  <c:v>173</c:v>
                </c:pt>
                <c:pt idx="14">
                  <c:v>167</c:v>
                </c:pt>
                <c:pt idx="15">
                  <c:v>163</c:v>
                </c:pt>
                <c:pt idx="16">
                  <c:v>173</c:v>
                </c:pt>
                <c:pt idx="17">
                  <c:v>164</c:v>
                </c:pt>
                <c:pt idx="18">
                  <c:v>170</c:v>
                </c:pt>
                <c:pt idx="19">
                  <c:v>164</c:v>
                </c:pt>
                <c:pt idx="20">
                  <c:v>170</c:v>
                </c:pt>
                <c:pt idx="21">
                  <c:v>180</c:v>
                </c:pt>
                <c:pt idx="22">
                  <c:v>176</c:v>
                </c:pt>
                <c:pt idx="23">
                  <c:v>173</c:v>
                </c:pt>
                <c:pt idx="24">
                  <c:v>168</c:v>
                </c:pt>
                <c:pt idx="25">
                  <c:v>161</c:v>
                </c:pt>
                <c:pt idx="26">
                  <c:v>164</c:v>
                </c:pt>
                <c:pt idx="27">
                  <c:v>167</c:v>
                </c:pt>
                <c:pt idx="28">
                  <c:v>176</c:v>
                </c:pt>
                <c:pt idx="29">
                  <c:v>165</c:v>
                </c:pt>
                <c:pt idx="30">
                  <c:v>166</c:v>
                </c:pt>
                <c:pt idx="31">
                  <c:v>175</c:v>
                </c:pt>
                <c:pt idx="32">
                  <c:v>164</c:v>
                </c:pt>
                <c:pt idx="33">
                  <c:v>171</c:v>
                </c:pt>
                <c:pt idx="34">
                  <c:v>174</c:v>
                </c:pt>
                <c:pt idx="35">
                  <c:v>167</c:v>
                </c:pt>
                <c:pt idx="36">
                  <c:v>169</c:v>
                </c:pt>
                <c:pt idx="37">
                  <c:v>162</c:v>
                </c:pt>
                <c:pt idx="38">
                  <c:v>169</c:v>
                </c:pt>
                <c:pt idx="39">
                  <c:v>173</c:v>
                </c:pt>
                <c:pt idx="40">
                  <c:v>172</c:v>
                </c:pt>
                <c:pt idx="41">
                  <c:v>164</c:v>
                </c:pt>
                <c:pt idx="42">
                  <c:v>170</c:v>
                </c:pt>
                <c:pt idx="43">
                  <c:v>167</c:v>
                </c:pt>
                <c:pt idx="44">
                  <c:v>166</c:v>
                </c:pt>
                <c:pt idx="45">
                  <c:v>156</c:v>
                </c:pt>
                <c:pt idx="46">
                  <c:v>166</c:v>
                </c:pt>
                <c:pt idx="47">
                  <c:v>156</c:v>
                </c:pt>
                <c:pt idx="48">
                  <c:v>169</c:v>
                </c:pt>
                <c:pt idx="49">
                  <c:v>165</c:v>
                </c:pt>
                <c:pt idx="50">
                  <c:v>172</c:v>
                </c:pt>
                <c:pt idx="51">
                  <c:v>178</c:v>
                </c:pt>
                <c:pt idx="52">
                  <c:v>170</c:v>
                </c:pt>
                <c:pt idx="53">
                  <c:v>167</c:v>
                </c:pt>
                <c:pt idx="54">
                  <c:v>166</c:v>
                </c:pt>
                <c:pt idx="55">
                  <c:v>163</c:v>
                </c:pt>
                <c:pt idx="56">
                  <c:v>157</c:v>
                </c:pt>
                <c:pt idx="57">
                  <c:v>173</c:v>
                </c:pt>
                <c:pt idx="58">
                  <c:v>176</c:v>
                </c:pt>
                <c:pt idx="59">
                  <c:v>167</c:v>
                </c:pt>
                <c:pt idx="60">
                  <c:v>168</c:v>
                </c:pt>
                <c:pt idx="61">
                  <c:v>172</c:v>
                </c:pt>
                <c:pt idx="62">
                  <c:v>168</c:v>
                </c:pt>
                <c:pt idx="63">
                  <c:v>177</c:v>
                </c:pt>
                <c:pt idx="64">
                  <c:v>163</c:v>
                </c:pt>
                <c:pt idx="65">
                  <c:v>169</c:v>
                </c:pt>
                <c:pt idx="66">
                  <c:v>173</c:v>
                </c:pt>
                <c:pt idx="67">
                  <c:v>178</c:v>
                </c:pt>
                <c:pt idx="68">
                  <c:v>171</c:v>
                </c:pt>
                <c:pt idx="69">
                  <c:v>161</c:v>
                </c:pt>
                <c:pt idx="70">
                  <c:v>162</c:v>
                </c:pt>
                <c:pt idx="71">
                  <c:v>167</c:v>
                </c:pt>
                <c:pt idx="72">
                  <c:v>174</c:v>
                </c:pt>
                <c:pt idx="73">
                  <c:v>167</c:v>
                </c:pt>
                <c:pt idx="74">
                  <c:v>169</c:v>
                </c:pt>
                <c:pt idx="75">
                  <c:v>176</c:v>
                </c:pt>
                <c:pt idx="76">
                  <c:v>170</c:v>
                </c:pt>
                <c:pt idx="77">
                  <c:v>168</c:v>
                </c:pt>
                <c:pt idx="78">
                  <c:v>172</c:v>
                </c:pt>
                <c:pt idx="79">
                  <c:v>164</c:v>
                </c:pt>
                <c:pt idx="80">
                  <c:v>178</c:v>
                </c:pt>
                <c:pt idx="81">
                  <c:v>172</c:v>
                </c:pt>
                <c:pt idx="82">
                  <c:v>171</c:v>
                </c:pt>
                <c:pt idx="83">
                  <c:v>167</c:v>
                </c:pt>
                <c:pt idx="84">
                  <c:v>170</c:v>
                </c:pt>
                <c:pt idx="85">
                  <c:v>170</c:v>
                </c:pt>
                <c:pt idx="86">
                  <c:v>167</c:v>
                </c:pt>
                <c:pt idx="87">
                  <c:v>171</c:v>
                </c:pt>
                <c:pt idx="88">
                  <c:v>168</c:v>
                </c:pt>
                <c:pt idx="89">
                  <c:v>173</c:v>
                </c:pt>
                <c:pt idx="90">
                  <c:v>173</c:v>
                </c:pt>
                <c:pt idx="91">
                  <c:v>170</c:v>
                </c:pt>
                <c:pt idx="92">
                  <c:v>172</c:v>
                </c:pt>
                <c:pt idx="93">
                  <c:v>162</c:v>
                </c:pt>
                <c:pt idx="94">
                  <c:v>171</c:v>
                </c:pt>
                <c:pt idx="95">
                  <c:v>173</c:v>
                </c:pt>
                <c:pt idx="96">
                  <c:v>156</c:v>
                </c:pt>
                <c:pt idx="97">
                  <c:v>168</c:v>
                </c:pt>
                <c:pt idx="98">
                  <c:v>176</c:v>
                </c:pt>
                <c:pt idx="99">
                  <c:v>164</c:v>
                </c:pt>
              </c:numCache>
            </c:numRef>
          </c:xVal>
          <c:yVal>
            <c:numRef>
              <c:f>в7!$B$1:$B$100</c:f>
              <c:numCache>
                <c:formatCode>General</c:formatCode>
                <c:ptCount val="100"/>
                <c:pt idx="0" formatCode="0">
                  <c:v>0</c:v>
                </c:pt>
                <c:pt idx="1">
                  <c:v>70</c:v>
                </c:pt>
                <c:pt idx="2">
                  <c:v>57</c:v>
                </c:pt>
                <c:pt idx="3">
                  <c:v>55</c:v>
                </c:pt>
                <c:pt idx="4">
                  <c:v>60</c:v>
                </c:pt>
                <c:pt idx="5">
                  <c:v>57</c:v>
                </c:pt>
                <c:pt idx="6">
                  <c:v>62</c:v>
                </c:pt>
                <c:pt idx="7">
                  <c:v>70</c:v>
                </c:pt>
                <c:pt idx="8">
                  <c:v>65</c:v>
                </c:pt>
                <c:pt idx="9">
                  <c:v>80</c:v>
                </c:pt>
                <c:pt idx="10">
                  <c:v>68</c:v>
                </c:pt>
                <c:pt idx="11">
                  <c:v>64</c:v>
                </c:pt>
                <c:pt idx="12">
                  <c:v>55</c:v>
                </c:pt>
                <c:pt idx="13">
                  <c:v>78</c:v>
                </c:pt>
                <c:pt idx="14">
                  <c:v>65</c:v>
                </c:pt>
                <c:pt idx="15">
                  <c:v>63</c:v>
                </c:pt>
                <c:pt idx="16">
                  <c:v>67</c:v>
                </c:pt>
                <c:pt idx="17">
                  <c:v>71</c:v>
                </c:pt>
                <c:pt idx="18">
                  <c:v>68</c:v>
                </c:pt>
                <c:pt idx="19">
                  <c:v>68</c:v>
                </c:pt>
                <c:pt idx="20">
                  <c:v>60</c:v>
                </c:pt>
                <c:pt idx="21">
                  <c:v>63</c:v>
                </c:pt>
                <c:pt idx="22">
                  <c:v>73</c:v>
                </c:pt>
                <c:pt idx="23">
                  <c:v>81</c:v>
                </c:pt>
                <c:pt idx="24">
                  <c:v>74</c:v>
                </c:pt>
                <c:pt idx="25">
                  <c:v>66</c:v>
                </c:pt>
                <c:pt idx="26">
                  <c:v>55</c:v>
                </c:pt>
                <c:pt idx="27">
                  <c:v>62</c:v>
                </c:pt>
                <c:pt idx="28">
                  <c:v>61</c:v>
                </c:pt>
                <c:pt idx="29">
                  <c:v>77</c:v>
                </c:pt>
                <c:pt idx="30">
                  <c:v>55</c:v>
                </c:pt>
                <c:pt idx="31">
                  <c:v>61</c:v>
                </c:pt>
                <c:pt idx="32">
                  <c:v>66</c:v>
                </c:pt>
                <c:pt idx="33">
                  <c:v>57</c:v>
                </c:pt>
                <c:pt idx="34">
                  <c:v>65</c:v>
                </c:pt>
                <c:pt idx="35">
                  <c:v>79</c:v>
                </c:pt>
                <c:pt idx="36">
                  <c:v>71</c:v>
                </c:pt>
                <c:pt idx="37">
                  <c:v>59</c:v>
                </c:pt>
                <c:pt idx="38">
                  <c:v>52</c:v>
                </c:pt>
                <c:pt idx="39">
                  <c:v>68</c:v>
                </c:pt>
                <c:pt idx="40">
                  <c:v>66</c:v>
                </c:pt>
                <c:pt idx="41">
                  <c:v>66</c:v>
                </c:pt>
                <c:pt idx="42">
                  <c:v>60</c:v>
                </c:pt>
                <c:pt idx="43">
                  <c:v>63</c:v>
                </c:pt>
                <c:pt idx="44">
                  <c:v>65</c:v>
                </c:pt>
                <c:pt idx="45">
                  <c:v>55</c:v>
                </c:pt>
                <c:pt idx="46">
                  <c:v>54</c:v>
                </c:pt>
                <c:pt idx="47">
                  <c:v>55</c:v>
                </c:pt>
                <c:pt idx="48">
                  <c:v>54</c:v>
                </c:pt>
                <c:pt idx="49">
                  <c:v>57</c:v>
                </c:pt>
                <c:pt idx="50">
                  <c:v>55</c:v>
                </c:pt>
                <c:pt idx="51">
                  <c:v>78</c:v>
                </c:pt>
                <c:pt idx="52">
                  <c:v>60</c:v>
                </c:pt>
                <c:pt idx="53">
                  <c:v>63</c:v>
                </c:pt>
                <c:pt idx="54">
                  <c:v>61</c:v>
                </c:pt>
                <c:pt idx="55">
                  <c:v>62</c:v>
                </c:pt>
                <c:pt idx="56">
                  <c:v>60</c:v>
                </c:pt>
                <c:pt idx="57">
                  <c:v>60</c:v>
                </c:pt>
                <c:pt idx="58">
                  <c:v>66</c:v>
                </c:pt>
                <c:pt idx="59">
                  <c:v>65</c:v>
                </c:pt>
                <c:pt idx="60">
                  <c:v>62</c:v>
                </c:pt>
                <c:pt idx="61">
                  <c:v>64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68</c:v>
                </c:pt>
                <c:pt idx="66">
                  <c:v>66</c:v>
                </c:pt>
                <c:pt idx="67">
                  <c:v>77</c:v>
                </c:pt>
                <c:pt idx="68">
                  <c:v>71</c:v>
                </c:pt>
                <c:pt idx="69">
                  <c:v>64</c:v>
                </c:pt>
                <c:pt idx="70">
                  <c:v>51</c:v>
                </c:pt>
                <c:pt idx="71">
                  <c:v>65</c:v>
                </c:pt>
                <c:pt idx="72">
                  <c:v>63</c:v>
                </c:pt>
                <c:pt idx="73">
                  <c:v>68</c:v>
                </c:pt>
                <c:pt idx="74">
                  <c:v>65</c:v>
                </c:pt>
                <c:pt idx="75">
                  <c:v>61</c:v>
                </c:pt>
                <c:pt idx="76">
                  <c:v>70</c:v>
                </c:pt>
                <c:pt idx="77">
                  <c:v>67</c:v>
                </c:pt>
                <c:pt idx="78">
                  <c:v>65</c:v>
                </c:pt>
                <c:pt idx="79">
                  <c:v>59</c:v>
                </c:pt>
                <c:pt idx="80">
                  <c:v>60</c:v>
                </c:pt>
                <c:pt idx="81">
                  <c:v>80</c:v>
                </c:pt>
                <c:pt idx="82">
                  <c:v>73</c:v>
                </c:pt>
                <c:pt idx="83">
                  <c:v>65</c:v>
                </c:pt>
                <c:pt idx="84">
                  <c:v>52</c:v>
                </c:pt>
                <c:pt idx="85">
                  <c:v>61</c:v>
                </c:pt>
                <c:pt idx="86">
                  <c:v>61</c:v>
                </c:pt>
                <c:pt idx="87">
                  <c:v>57</c:v>
                </c:pt>
                <c:pt idx="88">
                  <c:v>63</c:v>
                </c:pt>
                <c:pt idx="89">
                  <c:v>58</c:v>
                </c:pt>
                <c:pt idx="90">
                  <c:v>63</c:v>
                </c:pt>
                <c:pt idx="91">
                  <c:v>72</c:v>
                </c:pt>
                <c:pt idx="92">
                  <c:v>65</c:v>
                </c:pt>
                <c:pt idx="93">
                  <c:v>70</c:v>
                </c:pt>
                <c:pt idx="94">
                  <c:v>56</c:v>
                </c:pt>
                <c:pt idx="95">
                  <c:v>63</c:v>
                </c:pt>
                <c:pt idx="96">
                  <c:v>69</c:v>
                </c:pt>
                <c:pt idx="97">
                  <c:v>54</c:v>
                </c:pt>
                <c:pt idx="98">
                  <c:v>70</c:v>
                </c:pt>
                <c:pt idx="99">
                  <c:v>70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57376"/>
        <c:axId val="94358912"/>
      </c:scatterChart>
      <c:valAx>
        <c:axId val="9435737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ru-RU"/>
          </a:p>
        </c:txPr>
        <c:crossAx val="94358912"/>
        <c:crosses val="autoZero"/>
        <c:crossBetween val="midCat"/>
      </c:valAx>
      <c:valAx>
        <c:axId val="943589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ru-RU"/>
          </a:p>
        </c:txPr>
        <c:crossAx val="9435737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259200</xdr:colOff>
      <xdr:row>0</xdr:row>
      <xdr:rowOff>160200</xdr:rowOff>
    </xdr:from>
    <xdr:to>
      <xdr:col>11</xdr:col>
      <xdr:colOff>372960</xdr:colOff>
      <xdr:row>18</xdr:row>
      <xdr:rowOff>75600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16200</xdr:colOff>
      <xdr:row>12</xdr:row>
      <xdr:rowOff>4680</xdr:rowOff>
    </xdr:from>
    <xdr:to>
      <xdr:col>21</xdr:col>
      <xdr:colOff>37080</xdr:colOff>
      <xdr:row>28</xdr:row>
      <xdr:rowOff>70920</xdr:rowOff>
    </xdr:to>
    <xdr:graphicFrame macro="">
      <xdr:nvGraphicFramePr>
        <xdr:cNvPr id="2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450360</xdr:colOff>
      <xdr:row>13</xdr:row>
      <xdr:rowOff>88560</xdr:rowOff>
    </xdr:from>
    <xdr:to>
      <xdr:col>27</xdr:col>
      <xdr:colOff>600120</xdr:colOff>
      <xdr:row>22</xdr:row>
      <xdr:rowOff>146880</xdr:rowOff>
    </xdr:to>
    <xdr:graphicFrame macro="">
      <xdr:nvGraphicFramePr>
        <xdr:cNvPr id="3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149760</xdr:colOff>
      <xdr:row>92</xdr:row>
      <xdr:rowOff>47880</xdr:rowOff>
    </xdr:from>
    <xdr:to>
      <xdr:col>27</xdr:col>
      <xdr:colOff>274320</xdr:colOff>
      <xdr:row>109</xdr:row>
      <xdr:rowOff>65880</xdr:rowOff>
    </xdr:to>
    <xdr:graphicFrame macro="">
      <xdr:nvGraphicFramePr>
        <xdr:cNvPr id="4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573840</xdr:colOff>
      <xdr:row>83</xdr:row>
      <xdr:rowOff>147240</xdr:rowOff>
    </xdr:from>
    <xdr:to>
      <xdr:col>34</xdr:col>
      <xdr:colOff>3780</xdr:colOff>
      <xdr:row>104</xdr:row>
      <xdr:rowOff>95400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19</xdr:col>
      <xdr:colOff>571680</xdr:colOff>
      <xdr:row>77</xdr:row>
      <xdr:rowOff>152280</xdr:rowOff>
    </xdr:from>
    <xdr:to>
      <xdr:col>27</xdr:col>
      <xdr:colOff>342360</xdr:colOff>
      <xdr:row>91</xdr:row>
      <xdr:rowOff>48240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K125"/>
  <sheetViews>
    <sheetView zoomScale="95" zoomScaleNormal="95" workbookViewId="0">
      <selection activeCell="O41" sqref="O41"/>
    </sheetView>
  </sheetViews>
  <sheetFormatPr defaultColWidth="8.5703125" defaultRowHeight="12.75" x14ac:dyDescent="0.2"/>
  <cols>
    <col min="1" max="1" width="3.28515625" style="1" customWidth="1"/>
    <col min="2" max="2" width="5.5703125" style="1" customWidth="1"/>
    <col min="3" max="3" width="6.85546875" style="1" customWidth="1"/>
    <col min="4" max="4" width="7" style="1" customWidth="1"/>
    <col min="5" max="5" width="7" style="2" customWidth="1"/>
    <col min="6" max="6" width="6.5703125" style="1" customWidth="1"/>
    <col min="7" max="7" width="5.28515625" style="1" customWidth="1"/>
    <col min="8" max="8" width="8.140625" style="1" customWidth="1"/>
    <col min="9" max="9" width="7.28515625" style="1" customWidth="1"/>
    <col min="10" max="10" width="7.42578125" style="1" customWidth="1"/>
    <col min="11" max="11" width="8.85546875" style="1" customWidth="1"/>
    <col min="12" max="12" width="9.7109375" style="1" customWidth="1"/>
    <col min="13" max="13" width="10.28515625" style="1" customWidth="1"/>
    <col min="14" max="14" width="8.85546875" style="1" customWidth="1"/>
    <col min="15" max="15" width="13.140625" style="1" customWidth="1"/>
    <col min="16" max="16" width="9" style="1" customWidth="1"/>
    <col min="17" max="17" width="9.28515625" style="1" customWidth="1"/>
    <col min="18" max="18" width="9.85546875" style="1" customWidth="1"/>
    <col min="19" max="19" width="10.140625" style="1" customWidth="1"/>
    <col min="20" max="20" width="6.28515625" style="1" customWidth="1"/>
    <col min="21" max="1025" width="9" style="1" customWidth="1"/>
  </cols>
  <sheetData>
    <row r="1" spans="1:17" x14ac:dyDescent="0.2">
      <c r="B1" s="3" t="s">
        <v>0</v>
      </c>
      <c r="C1" s="4" t="s">
        <v>1</v>
      </c>
      <c r="D1" s="3" t="s">
        <v>0</v>
      </c>
      <c r="E1" s="4" t="s">
        <v>1</v>
      </c>
      <c r="G1" s="1" t="s">
        <v>2</v>
      </c>
      <c r="H1" s="5">
        <f>MIN(B2:B101)</f>
        <v>158</v>
      </c>
      <c r="I1" s="1" t="s">
        <v>3</v>
      </c>
      <c r="J1" s="5">
        <f>MAX(B2:B101)</f>
        <v>187</v>
      </c>
      <c r="L1" s="6" t="s">
        <v>4</v>
      </c>
      <c r="M1" s="6"/>
      <c r="Q1" s="1" t="s">
        <v>5</v>
      </c>
    </row>
    <row r="2" spans="1:17" x14ac:dyDescent="0.2">
      <c r="A2" s="1">
        <v>1</v>
      </c>
      <c r="B2" s="1">
        <v>165</v>
      </c>
      <c r="C2" s="1">
        <v>59</v>
      </c>
      <c r="D2" s="7">
        <v>158</v>
      </c>
      <c r="E2" s="2">
        <v>60</v>
      </c>
      <c r="F2" s="1" t="s">
        <v>6</v>
      </c>
      <c r="G2" s="1" t="s">
        <v>7</v>
      </c>
      <c r="H2" s="5">
        <f>J1-H1</f>
        <v>29</v>
      </c>
      <c r="I2" s="1" t="s">
        <v>8</v>
      </c>
      <c r="Q2" s="1" t="s">
        <v>9</v>
      </c>
    </row>
    <row r="3" spans="1:17" x14ac:dyDescent="0.2">
      <c r="A3" s="1">
        <v>2</v>
      </c>
      <c r="B3" s="1">
        <v>161</v>
      </c>
      <c r="C3" s="1">
        <v>56</v>
      </c>
      <c r="D3" s="7">
        <v>159</v>
      </c>
      <c r="E3" s="2">
        <v>68</v>
      </c>
      <c r="G3" s="1" t="s">
        <v>10</v>
      </c>
      <c r="H3" s="1">
        <f>ROUND(1+3.32*LOG10(100),0)</f>
        <v>8</v>
      </c>
      <c r="Q3" s="1" t="s">
        <v>11</v>
      </c>
    </row>
    <row r="4" spans="1:17" x14ac:dyDescent="0.2">
      <c r="A4" s="1">
        <v>3</v>
      </c>
      <c r="B4" s="1">
        <v>171</v>
      </c>
      <c r="C4" s="1">
        <v>72</v>
      </c>
      <c r="D4" s="7">
        <v>160</v>
      </c>
      <c r="E4" s="2">
        <v>60</v>
      </c>
      <c r="G4" s="1" t="s">
        <v>12</v>
      </c>
      <c r="H4" s="8">
        <f>H2/H3</f>
        <v>3.625</v>
      </c>
      <c r="Q4" s="1" t="s">
        <v>13</v>
      </c>
    </row>
    <row r="5" spans="1:17" x14ac:dyDescent="0.2">
      <c r="A5" s="1">
        <v>4</v>
      </c>
      <c r="B5" s="1">
        <v>179</v>
      </c>
      <c r="C5" s="1">
        <v>77</v>
      </c>
      <c r="D5" s="7">
        <v>160</v>
      </c>
      <c r="E5" s="2">
        <v>50</v>
      </c>
      <c r="O5" s="1" t="s">
        <v>14</v>
      </c>
      <c r="Q5" s="1" t="s">
        <v>15</v>
      </c>
    </row>
    <row r="6" spans="1:17" x14ac:dyDescent="0.2">
      <c r="A6" s="1">
        <v>5</v>
      </c>
      <c r="B6" s="1">
        <v>161</v>
      </c>
      <c r="C6" s="1">
        <v>58</v>
      </c>
      <c r="D6" s="7">
        <v>161</v>
      </c>
      <c r="E6" s="2">
        <v>56</v>
      </c>
      <c r="G6" s="9"/>
      <c r="H6" s="10" t="s">
        <v>16</v>
      </c>
      <c r="I6" s="10" t="s">
        <v>17</v>
      </c>
      <c r="J6" s="10" t="s">
        <v>18</v>
      </c>
      <c r="K6" s="10" t="s">
        <v>19</v>
      </c>
      <c r="L6" s="10" t="s">
        <v>20</v>
      </c>
      <c r="M6" s="11" t="s">
        <v>21</v>
      </c>
      <c r="N6" s="3" t="s">
        <v>22</v>
      </c>
      <c r="O6" s="11" t="s">
        <v>23</v>
      </c>
      <c r="Q6" s="1" t="s">
        <v>24</v>
      </c>
    </row>
    <row r="7" spans="1:17" x14ac:dyDescent="0.2">
      <c r="A7" s="1">
        <v>6</v>
      </c>
      <c r="B7" s="1">
        <v>165</v>
      </c>
      <c r="C7" s="1">
        <v>57</v>
      </c>
      <c r="D7" s="7">
        <v>161</v>
      </c>
      <c r="E7" s="2">
        <v>58</v>
      </c>
      <c r="G7" s="9">
        <v>1</v>
      </c>
      <c r="H7" s="12">
        <f>$H$1</f>
        <v>158</v>
      </c>
      <c r="I7" s="12">
        <f t="shared" ref="I7:I14" si="0">H7+$H$4</f>
        <v>161.625</v>
      </c>
      <c r="J7" s="3">
        <f>COUNTIF($B$2:$B$101,"&lt;=161,63")</f>
        <v>9</v>
      </c>
      <c r="K7" s="3">
        <f>J7</f>
        <v>9</v>
      </c>
      <c r="L7" s="12">
        <f t="shared" ref="L7:L14" si="1">(H7+I7)/2</f>
        <v>159.8125</v>
      </c>
      <c r="M7" s="3">
        <f t="shared" ref="M7:N14" si="2">J7/100</f>
        <v>0.09</v>
      </c>
      <c r="N7" s="3">
        <f t="shared" si="2"/>
        <v>0.09</v>
      </c>
      <c r="O7" s="13">
        <f t="shared" ref="O7:O14" si="3">M7/$H$4</f>
        <v>2.4827586206896551E-2</v>
      </c>
      <c r="Q7" s="1" t="s">
        <v>25</v>
      </c>
    </row>
    <row r="8" spans="1:17" x14ac:dyDescent="0.2">
      <c r="A8" s="1">
        <v>7</v>
      </c>
      <c r="B8" s="1">
        <v>178</v>
      </c>
      <c r="C8" s="1">
        <v>62</v>
      </c>
      <c r="D8" s="7">
        <v>161</v>
      </c>
      <c r="E8" s="2">
        <v>66</v>
      </c>
      <c r="G8" s="9">
        <v>2</v>
      </c>
      <c r="H8" s="12">
        <f t="shared" ref="H8:H14" si="4">I7</f>
        <v>161.625</v>
      </c>
      <c r="I8" s="12">
        <f t="shared" si="0"/>
        <v>165.25</v>
      </c>
      <c r="J8" s="14">
        <f>COUNTIF($B$2:$B$101,"&lt;=165,25")-J7</f>
        <v>22</v>
      </c>
      <c r="K8" s="14">
        <f t="shared" ref="K8:K14" si="5">J8+K7</f>
        <v>31</v>
      </c>
      <c r="L8" s="12">
        <f t="shared" si="1"/>
        <v>163.4375</v>
      </c>
      <c r="M8" s="3">
        <f t="shared" si="2"/>
        <v>0.22</v>
      </c>
      <c r="N8" s="3">
        <f t="shared" si="2"/>
        <v>0.31</v>
      </c>
      <c r="O8" s="13">
        <f t="shared" si="3"/>
        <v>6.0689655172413794E-2</v>
      </c>
      <c r="Q8" s="1" t="s">
        <v>26</v>
      </c>
    </row>
    <row r="9" spans="1:17" x14ac:dyDescent="0.2">
      <c r="A9" s="1">
        <v>8</v>
      </c>
      <c r="B9" s="1">
        <v>166</v>
      </c>
      <c r="C9" s="1">
        <v>60</v>
      </c>
      <c r="D9" s="7">
        <v>161</v>
      </c>
      <c r="E9" s="2">
        <v>52</v>
      </c>
      <c r="G9" s="9">
        <v>3</v>
      </c>
      <c r="H9" s="12">
        <f t="shared" si="4"/>
        <v>165.25</v>
      </c>
      <c r="I9" s="12">
        <f t="shared" si="0"/>
        <v>168.875</v>
      </c>
      <c r="J9" s="14">
        <f>COUNTIF($B$2:$B$101,"&lt;=168,88")-J8-J7</f>
        <v>20</v>
      </c>
      <c r="K9" s="14">
        <f t="shared" si="5"/>
        <v>51</v>
      </c>
      <c r="L9" s="12">
        <f t="shared" si="1"/>
        <v>167.0625</v>
      </c>
      <c r="M9" s="3">
        <f t="shared" si="2"/>
        <v>0.2</v>
      </c>
      <c r="N9" s="3">
        <f t="shared" si="2"/>
        <v>0.51</v>
      </c>
      <c r="O9" s="13">
        <f t="shared" si="3"/>
        <v>5.5172413793103454E-2</v>
      </c>
      <c r="Q9" s="1" t="s">
        <v>27</v>
      </c>
    </row>
    <row r="10" spans="1:17" x14ac:dyDescent="0.2">
      <c r="A10" s="1">
        <v>9</v>
      </c>
      <c r="B10" s="1">
        <v>161</v>
      </c>
      <c r="C10" s="1">
        <v>66</v>
      </c>
      <c r="D10" s="7">
        <v>161</v>
      </c>
      <c r="E10" s="2">
        <v>52</v>
      </c>
      <c r="G10" s="9">
        <v>4</v>
      </c>
      <c r="H10" s="12">
        <f t="shared" si="4"/>
        <v>168.875</v>
      </c>
      <c r="I10" s="12">
        <f t="shared" si="0"/>
        <v>172.5</v>
      </c>
      <c r="J10" s="14">
        <f>COUNTIF($B$2:$B$101,"&lt;=172,5")-J9-J8-J7</f>
        <v>24</v>
      </c>
      <c r="K10" s="14">
        <f t="shared" si="5"/>
        <v>75</v>
      </c>
      <c r="L10" s="12">
        <f t="shared" si="1"/>
        <v>170.6875</v>
      </c>
      <c r="M10" s="3">
        <f t="shared" si="2"/>
        <v>0.24</v>
      </c>
      <c r="N10" s="3">
        <f t="shared" si="2"/>
        <v>0.75</v>
      </c>
      <c r="O10" s="13">
        <f t="shared" si="3"/>
        <v>6.620689655172414E-2</v>
      </c>
      <c r="Q10" s="1" t="s">
        <v>28</v>
      </c>
    </row>
    <row r="11" spans="1:17" x14ac:dyDescent="0.2">
      <c r="A11" s="1">
        <v>10</v>
      </c>
      <c r="B11" s="1">
        <v>165</v>
      </c>
      <c r="C11" s="1">
        <v>68</v>
      </c>
      <c r="D11" s="15">
        <v>162</v>
      </c>
      <c r="E11" s="2">
        <v>53</v>
      </c>
      <c r="F11" s="1" t="s">
        <v>29</v>
      </c>
      <c r="G11" s="9">
        <v>5</v>
      </c>
      <c r="H11" s="12">
        <f t="shared" si="4"/>
        <v>172.5</v>
      </c>
      <c r="I11" s="12">
        <f t="shared" si="0"/>
        <v>176.125</v>
      </c>
      <c r="J11" s="14">
        <f>COUNTIF($B$2:$B$101,"&lt;=176,13")-J10-J9-J8-J7</f>
        <v>16</v>
      </c>
      <c r="K11" s="14">
        <f t="shared" si="5"/>
        <v>91</v>
      </c>
      <c r="L11" s="12">
        <f t="shared" si="1"/>
        <v>174.3125</v>
      </c>
      <c r="M11" s="3">
        <f t="shared" si="2"/>
        <v>0.16</v>
      </c>
      <c r="N11" s="3">
        <f t="shared" si="2"/>
        <v>0.91</v>
      </c>
      <c r="O11" s="13">
        <f t="shared" si="3"/>
        <v>4.4137931034482762E-2</v>
      </c>
      <c r="Q11" s="1" t="s">
        <v>30</v>
      </c>
    </row>
    <row r="12" spans="1:17" x14ac:dyDescent="0.2">
      <c r="A12" s="1">
        <v>11</v>
      </c>
      <c r="B12" s="1">
        <v>187</v>
      </c>
      <c r="C12" s="1">
        <v>84</v>
      </c>
      <c r="D12" s="15">
        <v>162</v>
      </c>
      <c r="E12" s="2">
        <v>61</v>
      </c>
      <c r="G12" s="9">
        <v>6</v>
      </c>
      <c r="H12" s="12">
        <f t="shared" si="4"/>
        <v>176.125</v>
      </c>
      <c r="I12" s="12">
        <f t="shared" si="0"/>
        <v>179.75</v>
      </c>
      <c r="J12" s="14">
        <f>COUNTIF($B$2:$B$101,"&lt;=179,75")-SUM(J7:J11)</f>
        <v>5</v>
      </c>
      <c r="K12" s="14">
        <f t="shared" si="5"/>
        <v>96</v>
      </c>
      <c r="L12" s="12">
        <f t="shared" si="1"/>
        <v>177.9375</v>
      </c>
      <c r="M12" s="3">
        <f t="shared" si="2"/>
        <v>0.05</v>
      </c>
      <c r="N12" s="3">
        <f t="shared" si="2"/>
        <v>0.96</v>
      </c>
      <c r="O12" s="13">
        <f t="shared" si="3"/>
        <v>1.3793103448275864E-2</v>
      </c>
      <c r="Q12" s="1" t="s">
        <v>31</v>
      </c>
    </row>
    <row r="13" spans="1:17" x14ac:dyDescent="0.2">
      <c r="A13" s="1">
        <v>12</v>
      </c>
      <c r="B13" s="1">
        <v>165</v>
      </c>
      <c r="C13" s="1">
        <v>63</v>
      </c>
      <c r="D13" s="15">
        <v>162</v>
      </c>
      <c r="E13" s="2">
        <v>56</v>
      </c>
      <c r="G13" s="9">
        <v>7</v>
      </c>
      <c r="H13" s="12">
        <f t="shared" si="4"/>
        <v>179.75</v>
      </c>
      <c r="I13" s="12">
        <f t="shared" si="0"/>
        <v>183.375</v>
      </c>
      <c r="J13" s="14">
        <f>COUNTIF($B$2:$B$101,"&lt;=183,38")-SUM(J7:J12)</f>
        <v>3</v>
      </c>
      <c r="K13" s="14">
        <f t="shared" si="5"/>
        <v>99</v>
      </c>
      <c r="L13" s="12">
        <f t="shared" si="1"/>
        <v>181.5625</v>
      </c>
      <c r="M13" s="3">
        <f t="shared" si="2"/>
        <v>0.03</v>
      </c>
      <c r="N13" s="3">
        <f t="shared" si="2"/>
        <v>0.99</v>
      </c>
      <c r="O13" s="13">
        <f t="shared" si="3"/>
        <v>8.2758620689655175E-3</v>
      </c>
    </row>
    <row r="14" spans="1:17" x14ac:dyDescent="0.2">
      <c r="A14" s="1">
        <v>13</v>
      </c>
      <c r="B14" s="1">
        <v>173</v>
      </c>
      <c r="C14" s="1">
        <v>70</v>
      </c>
      <c r="D14" s="15">
        <v>162</v>
      </c>
      <c r="E14" s="2">
        <v>53</v>
      </c>
      <c r="G14" s="9">
        <v>8</v>
      </c>
      <c r="H14" s="12">
        <f t="shared" si="4"/>
        <v>183.375</v>
      </c>
      <c r="I14" s="12">
        <f t="shared" si="0"/>
        <v>187</v>
      </c>
      <c r="J14" s="14">
        <f>COUNTIF($B$2:$B$101,"&lt;=187")-SUM(J7:J13)</f>
        <v>1</v>
      </c>
      <c r="K14" s="14">
        <f t="shared" si="5"/>
        <v>100</v>
      </c>
      <c r="L14" s="12">
        <f t="shared" si="1"/>
        <v>185.1875</v>
      </c>
      <c r="M14" s="3">
        <f t="shared" si="2"/>
        <v>0.01</v>
      </c>
      <c r="N14" s="3">
        <f t="shared" si="2"/>
        <v>1</v>
      </c>
      <c r="O14" s="13">
        <f t="shared" si="3"/>
        <v>2.7586206896551726E-3</v>
      </c>
    </row>
    <row r="15" spans="1:17" x14ac:dyDescent="0.2">
      <c r="A15" s="1">
        <v>14</v>
      </c>
      <c r="B15" s="1">
        <v>171</v>
      </c>
      <c r="C15" s="1">
        <v>67</v>
      </c>
      <c r="D15" s="15">
        <v>163</v>
      </c>
      <c r="E15" s="2">
        <v>64</v>
      </c>
      <c r="G15" s="9"/>
      <c r="H15" s="12"/>
      <c r="I15" s="12"/>
      <c r="J15" s="3">
        <f>SUM(J7:J14)</f>
        <v>100</v>
      </c>
      <c r="K15" s="10" t="s">
        <v>32</v>
      </c>
      <c r="L15" s="10" t="s">
        <v>32</v>
      </c>
      <c r="M15" s="3">
        <f>SUM(M7:M14)</f>
        <v>1</v>
      </c>
      <c r="N15" s="3"/>
      <c r="O15" s="3"/>
    </row>
    <row r="16" spans="1:17" x14ac:dyDescent="0.2">
      <c r="A16" s="1">
        <v>15</v>
      </c>
      <c r="B16" s="1">
        <v>169</v>
      </c>
      <c r="C16" s="1">
        <v>73</v>
      </c>
      <c r="D16" s="15">
        <v>163</v>
      </c>
      <c r="E16" s="2">
        <v>63</v>
      </c>
    </row>
    <row r="17" spans="1:15" x14ac:dyDescent="0.2">
      <c r="A17" s="1">
        <v>16</v>
      </c>
      <c r="B17" s="1">
        <v>173</v>
      </c>
      <c r="C17" s="1">
        <v>75</v>
      </c>
      <c r="D17" s="15">
        <v>163</v>
      </c>
      <c r="E17" s="2">
        <v>72</v>
      </c>
      <c r="G17" s="1" t="s">
        <v>33</v>
      </c>
      <c r="H17" s="5">
        <f>$K$27</f>
        <v>168.80250000000001</v>
      </c>
      <c r="I17" s="5"/>
    </row>
    <row r="18" spans="1:15" ht="17.25" x14ac:dyDescent="0.25">
      <c r="A18" s="1">
        <v>17</v>
      </c>
      <c r="B18" s="1">
        <v>164</v>
      </c>
      <c r="C18" s="1">
        <v>61</v>
      </c>
      <c r="D18" s="15">
        <v>164</v>
      </c>
      <c r="E18" s="2">
        <v>61</v>
      </c>
      <c r="H18" s="10" t="s">
        <v>20</v>
      </c>
      <c r="I18" s="11" t="s">
        <v>34</v>
      </c>
      <c r="J18" s="16" t="s">
        <v>35</v>
      </c>
      <c r="K18" s="10" t="s">
        <v>36</v>
      </c>
      <c r="L18" s="17" t="s">
        <v>37</v>
      </c>
      <c r="M18" s="17" t="s">
        <v>38</v>
      </c>
      <c r="N18" s="17" t="s">
        <v>39</v>
      </c>
      <c r="O18" s="17" t="s">
        <v>40</v>
      </c>
    </row>
    <row r="19" spans="1:15" x14ac:dyDescent="0.2">
      <c r="A19" s="1">
        <v>18</v>
      </c>
      <c r="B19" s="1">
        <v>169</v>
      </c>
      <c r="C19" s="1">
        <v>60</v>
      </c>
      <c r="D19" s="15">
        <v>164</v>
      </c>
      <c r="E19" s="2">
        <v>59</v>
      </c>
      <c r="G19" s="9">
        <v>1</v>
      </c>
      <c r="H19" s="12">
        <f t="shared" ref="H19:I26" si="6">L7</f>
        <v>159.8125</v>
      </c>
      <c r="I19" s="3">
        <f t="shared" si="6"/>
        <v>0.09</v>
      </c>
      <c r="J19" s="5">
        <f t="shared" ref="J19:J26" si="7">H19-$K$27</f>
        <v>-8.9900000000000091</v>
      </c>
      <c r="K19" s="5">
        <f t="shared" ref="K19:L26" si="8">H19*I19</f>
        <v>14.383125</v>
      </c>
      <c r="L19" s="5">
        <f t="shared" si="8"/>
        <v>-0.80910000000000082</v>
      </c>
      <c r="M19" s="5">
        <f t="shared" ref="M19:M26" si="9">L19*J19</f>
        <v>7.2738090000000151</v>
      </c>
      <c r="N19" s="18">
        <f t="shared" ref="N19:N26" si="10">M19*J19</f>
        <v>-65.391542910000197</v>
      </c>
      <c r="O19" s="19">
        <f t="shared" ref="O19:O26" si="11">N19*J19</f>
        <v>587.86997076090233</v>
      </c>
    </row>
    <row r="20" spans="1:15" x14ac:dyDescent="0.2">
      <c r="A20" s="1">
        <v>19</v>
      </c>
      <c r="B20" s="1">
        <v>162</v>
      </c>
      <c r="C20" s="1">
        <v>53</v>
      </c>
      <c r="D20" s="15">
        <v>164</v>
      </c>
      <c r="E20" s="2">
        <v>59</v>
      </c>
      <c r="G20" s="9">
        <v>2</v>
      </c>
      <c r="H20" s="12">
        <f t="shared" si="6"/>
        <v>163.4375</v>
      </c>
      <c r="I20" s="3">
        <f t="shared" si="6"/>
        <v>0.22</v>
      </c>
      <c r="J20" s="5">
        <f t="shared" si="7"/>
        <v>-5.3650000000000091</v>
      </c>
      <c r="K20" s="5">
        <f t="shared" si="8"/>
        <v>35.956249999999997</v>
      </c>
      <c r="L20" s="5">
        <f t="shared" si="8"/>
        <v>-1.1803000000000019</v>
      </c>
      <c r="M20" s="5">
        <f t="shared" si="9"/>
        <v>6.3323095000000214</v>
      </c>
      <c r="N20" s="18">
        <f t="shared" si="10"/>
        <v>-33.97284046750017</v>
      </c>
      <c r="O20" s="19">
        <f t="shared" si="11"/>
        <v>182.26428910813871</v>
      </c>
    </row>
    <row r="21" spans="1:15" x14ac:dyDescent="0.2">
      <c r="A21" s="1">
        <v>20</v>
      </c>
      <c r="B21" s="1">
        <v>166</v>
      </c>
      <c r="C21" s="1">
        <v>55</v>
      </c>
      <c r="D21" s="15">
        <v>164</v>
      </c>
      <c r="E21" s="2">
        <v>60</v>
      </c>
      <c r="G21" s="9">
        <v>3</v>
      </c>
      <c r="H21" s="12">
        <f t="shared" si="6"/>
        <v>167.0625</v>
      </c>
      <c r="I21" s="3">
        <f t="shared" si="6"/>
        <v>0.2</v>
      </c>
      <c r="J21" s="5">
        <f t="shared" si="7"/>
        <v>-1.7400000000000091</v>
      </c>
      <c r="K21" s="5">
        <f t="shared" si="8"/>
        <v>33.412500000000001</v>
      </c>
      <c r="L21" s="5">
        <f t="shared" si="8"/>
        <v>-0.34800000000000186</v>
      </c>
      <c r="M21" s="5">
        <f t="shared" si="9"/>
        <v>0.60552000000000639</v>
      </c>
      <c r="N21" s="18">
        <f t="shared" si="10"/>
        <v>-1.0536048000000167</v>
      </c>
      <c r="O21" s="19">
        <f t="shared" si="11"/>
        <v>1.8332723520000385</v>
      </c>
    </row>
    <row r="22" spans="1:15" x14ac:dyDescent="0.2">
      <c r="A22" s="1">
        <v>21</v>
      </c>
      <c r="B22" s="1">
        <v>173</v>
      </c>
      <c r="C22" s="1">
        <v>69</v>
      </c>
      <c r="D22" s="15">
        <v>164</v>
      </c>
      <c r="E22" s="2">
        <v>61</v>
      </c>
      <c r="G22" s="9">
        <v>4</v>
      </c>
      <c r="H22" s="12">
        <f t="shared" si="6"/>
        <v>170.6875</v>
      </c>
      <c r="I22" s="3">
        <f t="shared" si="6"/>
        <v>0.24</v>
      </c>
      <c r="J22" s="5">
        <f t="shared" si="7"/>
        <v>1.8849999999999909</v>
      </c>
      <c r="K22" s="5">
        <f t="shared" si="8"/>
        <v>40.964999999999996</v>
      </c>
      <c r="L22" s="5">
        <f t="shared" si="8"/>
        <v>0.4523999999999978</v>
      </c>
      <c r="M22" s="5">
        <f t="shared" si="9"/>
        <v>0.85277399999999171</v>
      </c>
      <c r="N22" s="18">
        <f t="shared" si="10"/>
        <v>1.6074789899999766</v>
      </c>
      <c r="O22" s="19">
        <f t="shared" si="11"/>
        <v>3.0300978961499414</v>
      </c>
    </row>
    <row r="23" spans="1:15" x14ac:dyDescent="0.2">
      <c r="A23" s="1">
        <v>22</v>
      </c>
      <c r="B23" s="1">
        <v>166</v>
      </c>
      <c r="C23" s="1">
        <v>67</v>
      </c>
      <c r="D23" s="15">
        <v>164</v>
      </c>
      <c r="E23" s="2">
        <v>61</v>
      </c>
      <c r="F23" s="1" t="s">
        <v>41</v>
      </c>
      <c r="G23" s="9">
        <v>5</v>
      </c>
      <c r="H23" s="12">
        <f t="shared" si="6"/>
        <v>174.3125</v>
      </c>
      <c r="I23" s="3">
        <f t="shared" si="6"/>
        <v>0.16</v>
      </c>
      <c r="J23" s="5">
        <f t="shared" si="7"/>
        <v>5.5099999999999909</v>
      </c>
      <c r="K23" s="5">
        <f t="shared" si="8"/>
        <v>27.89</v>
      </c>
      <c r="L23" s="5">
        <f t="shared" si="8"/>
        <v>0.88159999999999861</v>
      </c>
      <c r="M23" s="5">
        <f t="shared" si="9"/>
        <v>4.8576159999999842</v>
      </c>
      <c r="N23" s="18">
        <f t="shared" si="10"/>
        <v>26.765464159999869</v>
      </c>
      <c r="O23" s="19">
        <f t="shared" si="11"/>
        <v>147.47770752159903</v>
      </c>
    </row>
    <row r="24" spans="1:15" x14ac:dyDescent="0.2">
      <c r="A24" s="1">
        <v>23</v>
      </c>
      <c r="B24" s="1">
        <v>166</v>
      </c>
      <c r="C24" s="1">
        <v>55</v>
      </c>
      <c r="D24" s="15">
        <v>164</v>
      </c>
      <c r="E24" s="2">
        <v>62</v>
      </c>
      <c r="G24" s="9">
        <v>6</v>
      </c>
      <c r="H24" s="12">
        <f t="shared" si="6"/>
        <v>177.9375</v>
      </c>
      <c r="I24" s="3">
        <f t="shared" si="6"/>
        <v>0.05</v>
      </c>
      <c r="J24" s="5">
        <f t="shared" si="7"/>
        <v>9.1349999999999909</v>
      </c>
      <c r="K24" s="5">
        <f t="shared" si="8"/>
        <v>8.8968749999999996</v>
      </c>
      <c r="L24" s="5">
        <f t="shared" si="8"/>
        <v>0.45674999999999955</v>
      </c>
      <c r="M24" s="5">
        <f t="shared" si="9"/>
        <v>4.1724112499999917</v>
      </c>
      <c r="N24" s="18">
        <f t="shared" si="10"/>
        <v>38.114976768749884</v>
      </c>
      <c r="O24" s="19">
        <f t="shared" si="11"/>
        <v>348.18031278252982</v>
      </c>
    </row>
    <row r="25" spans="1:15" x14ac:dyDescent="0.2">
      <c r="A25" s="1">
        <v>24</v>
      </c>
      <c r="B25" s="1">
        <v>170</v>
      </c>
      <c r="C25" s="1">
        <v>73</v>
      </c>
      <c r="D25" s="15">
        <v>164</v>
      </c>
      <c r="E25" s="2">
        <v>57</v>
      </c>
      <c r="G25" s="9">
        <v>7</v>
      </c>
      <c r="H25" s="12">
        <f t="shared" si="6"/>
        <v>181.5625</v>
      </c>
      <c r="I25" s="3">
        <f t="shared" si="6"/>
        <v>0.03</v>
      </c>
      <c r="J25" s="5">
        <f t="shared" si="7"/>
        <v>12.759999999999991</v>
      </c>
      <c r="K25" s="5">
        <f t="shared" si="8"/>
        <v>5.4468749999999995</v>
      </c>
      <c r="L25" s="5">
        <f t="shared" si="8"/>
        <v>0.3827999999999997</v>
      </c>
      <c r="M25" s="5">
        <f t="shared" si="9"/>
        <v>4.8845279999999924</v>
      </c>
      <c r="N25" s="18">
        <f t="shared" si="10"/>
        <v>62.32657727999986</v>
      </c>
      <c r="O25" s="19">
        <f t="shared" si="11"/>
        <v>795.28712609279762</v>
      </c>
    </row>
    <row r="26" spans="1:15" x14ac:dyDescent="0.2">
      <c r="A26" s="1">
        <v>25</v>
      </c>
      <c r="B26" s="1">
        <v>165</v>
      </c>
      <c r="C26" s="1">
        <v>68</v>
      </c>
      <c r="D26" s="15">
        <v>165</v>
      </c>
      <c r="E26" s="2">
        <v>59</v>
      </c>
      <c r="G26" s="9">
        <v>8</v>
      </c>
      <c r="H26" s="12">
        <f t="shared" si="6"/>
        <v>185.1875</v>
      </c>
      <c r="I26" s="3">
        <f t="shared" si="6"/>
        <v>0.01</v>
      </c>
      <c r="J26" s="5">
        <f t="shared" si="7"/>
        <v>16.384999999999991</v>
      </c>
      <c r="K26" s="5">
        <f t="shared" si="8"/>
        <v>1.8518749999999999</v>
      </c>
      <c r="L26" s="5">
        <f t="shared" si="8"/>
        <v>0.16384999999999991</v>
      </c>
      <c r="M26" s="5">
        <f t="shared" si="9"/>
        <v>2.6846822499999972</v>
      </c>
      <c r="N26" s="18">
        <f t="shared" si="10"/>
        <v>43.988518666249931</v>
      </c>
      <c r="O26" s="19">
        <f t="shared" si="11"/>
        <v>720.75187834650467</v>
      </c>
    </row>
    <row r="27" spans="1:15" x14ac:dyDescent="0.2">
      <c r="A27" s="1">
        <v>26</v>
      </c>
      <c r="B27" s="1">
        <v>168</v>
      </c>
      <c r="C27" s="1">
        <v>62</v>
      </c>
      <c r="D27" s="15">
        <v>165</v>
      </c>
      <c r="E27" s="2">
        <v>57</v>
      </c>
      <c r="J27" s="1" t="s">
        <v>33</v>
      </c>
      <c r="K27" s="20">
        <f>SUM(K19:K26)</f>
        <v>168.80250000000001</v>
      </c>
      <c r="L27" s="20">
        <f>SUM(L19:L26)</f>
        <v>-9.1315843775419125E-15</v>
      </c>
      <c r="M27" s="20">
        <f>SUM(M19:M26)</f>
        <v>31.663650000000001</v>
      </c>
      <c r="N27" s="20">
        <f>SUM(N19:N26)</f>
        <v>72.385027687499132</v>
      </c>
      <c r="O27" s="21">
        <f>SUM(O19:O26)</f>
        <v>2786.6946548606224</v>
      </c>
    </row>
    <row r="28" spans="1:15" x14ac:dyDescent="0.2">
      <c r="A28" s="1">
        <v>27</v>
      </c>
      <c r="B28" s="1">
        <v>163</v>
      </c>
      <c r="C28" s="1">
        <v>64</v>
      </c>
      <c r="D28" s="15">
        <v>165</v>
      </c>
      <c r="E28" s="2">
        <v>68</v>
      </c>
      <c r="G28" s="16" t="s">
        <v>42</v>
      </c>
      <c r="H28" s="8">
        <f>M27</f>
        <v>31.663650000000001</v>
      </c>
      <c r="I28" s="16" t="s">
        <v>43</v>
      </c>
      <c r="J28" s="1">
        <f>N27</f>
        <v>72.385027687499132</v>
      </c>
      <c r="K28" s="16" t="s">
        <v>44</v>
      </c>
      <c r="L28" s="1">
        <f>O27</f>
        <v>2786.6946548606224</v>
      </c>
    </row>
    <row r="29" spans="1:15" x14ac:dyDescent="0.2">
      <c r="A29" s="1">
        <v>28</v>
      </c>
      <c r="B29" s="1">
        <v>164</v>
      </c>
      <c r="C29" s="1">
        <v>59</v>
      </c>
      <c r="D29" s="15">
        <v>165</v>
      </c>
      <c r="E29" s="2">
        <v>63</v>
      </c>
      <c r="G29" s="1" t="s">
        <v>45</v>
      </c>
      <c r="H29" s="8">
        <f>H28</f>
        <v>31.663650000000001</v>
      </c>
      <c r="I29" s="1" t="s">
        <v>46</v>
      </c>
    </row>
    <row r="30" spans="1:15" x14ac:dyDescent="0.2">
      <c r="A30" s="1">
        <v>29</v>
      </c>
      <c r="B30" s="1">
        <v>176</v>
      </c>
      <c r="C30" s="1">
        <v>70</v>
      </c>
      <c r="D30" s="15">
        <v>165</v>
      </c>
      <c r="E30" s="2">
        <v>68</v>
      </c>
      <c r="G30" s="1" t="s">
        <v>47</v>
      </c>
      <c r="H30" s="8">
        <f>SQRT(H29)</f>
        <v>5.6270462944603539</v>
      </c>
      <c r="I30" s="1" t="s">
        <v>48</v>
      </c>
      <c r="K30" s="1">
        <f>100/99*H29</f>
        <v>31.983484848484849</v>
      </c>
      <c r="L30" s="1" t="s">
        <v>49</v>
      </c>
      <c r="M30" s="8">
        <f>K30^0.5</f>
        <v>5.6553943141468794</v>
      </c>
    </row>
    <row r="31" spans="1:15" x14ac:dyDescent="0.2">
      <c r="A31" s="1">
        <v>30</v>
      </c>
      <c r="B31" s="1">
        <v>166</v>
      </c>
      <c r="C31" s="1">
        <v>63</v>
      </c>
      <c r="D31" s="15">
        <v>165</v>
      </c>
      <c r="E31" s="2">
        <v>63</v>
      </c>
      <c r="G31" s="1" t="s">
        <v>50</v>
      </c>
      <c r="H31" s="8">
        <f>J28/(H30^3)</f>
        <v>0.40626300857390091</v>
      </c>
      <c r="K31" s="1" t="s">
        <v>51</v>
      </c>
      <c r="L31" s="1">
        <v>1.96</v>
      </c>
    </row>
    <row r="32" spans="1:15" x14ac:dyDescent="0.2">
      <c r="A32" s="1">
        <v>31</v>
      </c>
      <c r="B32" s="1">
        <v>167</v>
      </c>
      <c r="C32" s="1">
        <v>64</v>
      </c>
      <c r="D32" s="15">
        <v>165</v>
      </c>
      <c r="E32" s="2">
        <v>64</v>
      </c>
      <c r="G32" s="1" t="s">
        <v>52</v>
      </c>
      <c r="H32" s="8">
        <f>L28/(H30^4)-3</f>
        <v>-0.22049517732523016</v>
      </c>
      <c r="J32" s="1" t="s">
        <v>14</v>
      </c>
      <c r="K32" s="1" t="s">
        <v>53</v>
      </c>
      <c r="L32" s="1">
        <f>M30*L31/10</f>
        <v>1.1084572855727883</v>
      </c>
    </row>
    <row r="33" spans="1:17" x14ac:dyDescent="0.2">
      <c r="A33" s="1">
        <v>32</v>
      </c>
      <c r="B33" s="1">
        <v>176</v>
      </c>
      <c r="C33" s="1">
        <v>65</v>
      </c>
      <c r="D33" s="22">
        <v>166</v>
      </c>
      <c r="E33" s="2">
        <v>60</v>
      </c>
      <c r="F33" s="1" t="s">
        <v>54</v>
      </c>
      <c r="I33" s="1" t="s">
        <v>55</v>
      </c>
      <c r="L33" s="5">
        <f>K27-L32</f>
        <v>167.69404271442721</v>
      </c>
      <c r="M33" s="1" t="s">
        <v>56</v>
      </c>
      <c r="N33" s="5">
        <f>H17+L32</f>
        <v>169.91095728557281</v>
      </c>
    </row>
    <row r="34" spans="1:17" x14ac:dyDescent="0.2">
      <c r="A34" s="1">
        <v>33</v>
      </c>
      <c r="B34" s="1">
        <v>166</v>
      </c>
      <c r="C34" s="1">
        <v>60</v>
      </c>
      <c r="D34" s="22">
        <v>166</v>
      </c>
      <c r="E34" s="2">
        <v>55</v>
      </c>
      <c r="H34" s="1" t="s">
        <v>57</v>
      </c>
      <c r="J34" s="1">
        <v>0.14299999999999999</v>
      </c>
      <c r="K34" s="1" t="s">
        <v>58</v>
      </c>
    </row>
    <row r="35" spans="1:17" x14ac:dyDescent="0.2">
      <c r="A35" s="1">
        <v>34</v>
      </c>
      <c r="B35" s="1">
        <v>164</v>
      </c>
      <c r="C35" s="1">
        <v>59</v>
      </c>
      <c r="D35" s="22">
        <v>166</v>
      </c>
      <c r="E35" s="2">
        <v>67</v>
      </c>
      <c r="J35" s="5">
        <f>M30*(1-0.143)</f>
        <v>4.8466729272238753</v>
      </c>
      <c r="K35" s="1" t="s">
        <v>59</v>
      </c>
      <c r="L35" s="5">
        <f>M30*(1+0.143)</f>
        <v>6.4641157010698835</v>
      </c>
    </row>
    <row r="36" spans="1:17" x14ac:dyDescent="0.2">
      <c r="A36" s="1">
        <v>1</v>
      </c>
      <c r="B36" s="1">
        <v>173</v>
      </c>
      <c r="C36" s="1">
        <v>74</v>
      </c>
      <c r="D36" s="22">
        <v>166</v>
      </c>
      <c r="E36" s="2">
        <v>55</v>
      </c>
      <c r="G36" s="9"/>
      <c r="H36" s="10" t="s">
        <v>16</v>
      </c>
      <c r="I36" s="10" t="s">
        <v>17</v>
      </c>
      <c r="J36" s="3" t="s">
        <v>60</v>
      </c>
      <c r="K36" s="3" t="s">
        <v>61</v>
      </c>
      <c r="L36" s="3" t="s">
        <v>62</v>
      </c>
      <c r="M36" s="3" t="s">
        <v>63</v>
      </c>
      <c r="N36" s="3" t="s">
        <v>64</v>
      </c>
      <c r="O36" s="3" t="s">
        <v>65</v>
      </c>
      <c r="P36" s="23" t="s">
        <v>34</v>
      </c>
    </row>
    <row r="37" spans="1:17" x14ac:dyDescent="0.2">
      <c r="A37" s="1">
        <v>2</v>
      </c>
      <c r="B37" s="1">
        <v>174</v>
      </c>
      <c r="C37" s="1">
        <v>67</v>
      </c>
      <c r="D37" s="22">
        <v>166</v>
      </c>
      <c r="E37" s="2">
        <v>63</v>
      </c>
      <c r="G37" s="9">
        <v>1</v>
      </c>
      <c r="H37" s="12">
        <f>H7</f>
        <v>158</v>
      </c>
      <c r="I37" s="12">
        <f t="shared" ref="I37:I44" si="12">H37+$H$4</f>
        <v>161.625</v>
      </c>
      <c r="J37" s="11" t="s">
        <v>66</v>
      </c>
      <c r="K37" s="12">
        <f t="shared" ref="K37:K44" si="13">(I37-$K$27)/$H$30</f>
        <v>-1.2755359782744327</v>
      </c>
      <c r="L37" s="3">
        <v>-0.5</v>
      </c>
      <c r="M37" s="3">
        <v>-0.3997</v>
      </c>
      <c r="N37" s="24">
        <f t="shared" ref="N37:N44" si="14">M37-L37</f>
        <v>0.1003</v>
      </c>
      <c r="O37" s="12">
        <f t="shared" ref="O37:O44" si="15">100*N37</f>
        <v>10.029999999999999</v>
      </c>
      <c r="P37" s="25">
        <f t="shared" ref="P37:P44" si="16">M7</f>
        <v>0.09</v>
      </c>
    </row>
    <row r="38" spans="1:17" x14ac:dyDescent="0.2">
      <c r="A38" s="1">
        <v>3</v>
      </c>
      <c r="B38" s="1">
        <v>167</v>
      </c>
      <c r="C38" s="1">
        <v>53</v>
      </c>
      <c r="D38" s="22">
        <v>166</v>
      </c>
      <c r="E38" s="2">
        <v>60</v>
      </c>
      <c r="G38" s="9">
        <v>2</v>
      </c>
      <c r="H38" s="12">
        <f t="shared" ref="H38:H44" si="17">I37</f>
        <v>161.625</v>
      </c>
      <c r="I38" s="12">
        <f t="shared" si="12"/>
        <v>165.25</v>
      </c>
      <c r="J38" s="12">
        <f t="shared" ref="J38:J44" si="18">(H38-$K$27)/$H$30</f>
        <v>-1.2755359782744327</v>
      </c>
      <c r="K38" s="12">
        <f t="shared" si="13"/>
        <v>-0.63132588823684122</v>
      </c>
      <c r="L38" s="3">
        <f t="shared" ref="L38:L44" si="19">M37</f>
        <v>-0.3997</v>
      </c>
      <c r="M38" s="3">
        <v>-0.23569999999999999</v>
      </c>
      <c r="N38" s="24">
        <f t="shared" si="14"/>
        <v>0.16400000000000001</v>
      </c>
      <c r="O38" s="12">
        <f t="shared" si="15"/>
        <v>16.400000000000002</v>
      </c>
      <c r="P38" s="25">
        <f t="shared" si="16"/>
        <v>0.22</v>
      </c>
    </row>
    <row r="39" spans="1:17" x14ac:dyDescent="0.2">
      <c r="A39" s="1">
        <v>4</v>
      </c>
      <c r="B39" s="1">
        <v>171</v>
      </c>
      <c r="C39" s="1">
        <v>67</v>
      </c>
      <c r="D39" s="22">
        <v>166</v>
      </c>
      <c r="E39" s="2">
        <v>55</v>
      </c>
      <c r="G39" s="9">
        <v>3</v>
      </c>
      <c r="H39" s="12">
        <f t="shared" si="17"/>
        <v>165.25</v>
      </c>
      <c r="I39" s="12">
        <f t="shared" si="12"/>
        <v>168.875</v>
      </c>
      <c r="J39" s="12">
        <f t="shared" si="18"/>
        <v>-0.63132588823684122</v>
      </c>
      <c r="K39" s="12">
        <f t="shared" si="13"/>
        <v>1.2884201800750212E-2</v>
      </c>
      <c r="L39" s="3">
        <f t="shared" si="19"/>
        <v>-0.23569999999999999</v>
      </c>
      <c r="M39" s="3">
        <v>4.0000000000000001E-3</v>
      </c>
      <c r="N39" s="24">
        <f t="shared" si="14"/>
        <v>0.2397</v>
      </c>
      <c r="O39" s="12">
        <f t="shared" si="15"/>
        <v>23.97</v>
      </c>
      <c r="P39" s="25">
        <f t="shared" si="16"/>
        <v>0.2</v>
      </c>
    </row>
    <row r="40" spans="1:17" x14ac:dyDescent="0.2">
      <c r="A40" s="1">
        <v>5</v>
      </c>
      <c r="B40" s="1">
        <v>179</v>
      </c>
      <c r="C40" s="1">
        <v>80</v>
      </c>
      <c r="D40" s="22">
        <v>166</v>
      </c>
      <c r="E40" s="2">
        <v>57</v>
      </c>
      <c r="G40" s="9">
        <v>4</v>
      </c>
      <c r="H40" s="12">
        <f t="shared" si="17"/>
        <v>168.875</v>
      </c>
      <c r="I40" s="12">
        <f t="shared" si="12"/>
        <v>172.5</v>
      </c>
      <c r="J40" s="12">
        <f t="shared" si="18"/>
        <v>1.2884201800750212E-2</v>
      </c>
      <c r="K40" s="12">
        <f t="shared" si="13"/>
        <v>0.65709429183834167</v>
      </c>
      <c r="L40" s="3">
        <f t="shared" si="19"/>
        <v>4.0000000000000001E-3</v>
      </c>
      <c r="M40" s="3">
        <v>0.24540000000000001</v>
      </c>
      <c r="N40" s="24">
        <f t="shared" si="14"/>
        <v>0.2414</v>
      </c>
      <c r="O40" s="12">
        <f t="shared" si="15"/>
        <v>24.14</v>
      </c>
      <c r="P40" s="25">
        <f t="shared" si="16"/>
        <v>0.24</v>
      </c>
    </row>
    <row r="41" spans="1:17" x14ac:dyDescent="0.2">
      <c r="A41" s="1">
        <v>6</v>
      </c>
      <c r="B41" s="1">
        <v>172</v>
      </c>
      <c r="C41" s="1">
        <v>70</v>
      </c>
      <c r="D41" s="22">
        <v>167</v>
      </c>
      <c r="E41" s="2">
        <v>64</v>
      </c>
      <c r="G41" s="9">
        <v>5</v>
      </c>
      <c r="H41" s="12">
        <f t="shared" si="17"/>
        <v>172.5</v>
      </c>
      <c r="I41" s="12">
        <f t="shared" si="12"/>
        <v>176.125</v>
      </c>
      <c r="J41" s="12">
        <f t="shared" si="18"/>
        <v>0.65709429183834167</v>
      </c>
      <c r="K41" s="12">
        <f t="shared" si="13"/>
        <v>1.3013043818759331</v>
      </c>
      <c r="L41" s="3">
        <f t="shared" si="19"/>
        <v>0.24540000000000001</v>
      </c>
      <c r="M41" s="3">
        <v>0.4032</v>
      </c>
      <c r="N41" s="24">
        <f t="shared" si="14"/>
        <v>0.1578</v>
      </c>
      <c r="O41" s="12">
        <f t="shared" si="15"/>
        <v>15.78</v>
      </c>
      <c r="P41" s="25">
        <f t="shared" si="16"/>
        <v>0.16</v>
      </c>
    </row>
    <row r="42" spans="1:17" x14ac:dyDescent="0.2">
      <c r="A42" s="1">
        <v>7</v>
      </c>
      <c r="B42" s="1">
        <v>167</v>
      </c>
      <c r="C42" s="1">
        <v>65</v>
      </c>
      <c r="D42" s="22">
        <v>167</v>
      </c>
      <c r="E42" s="2">
        <v>53</v>
      </c>
      <c r="G42" s="9">
        <v>6</v>
      </c>
      <c r="H42" s="12">
        <f t="shared" si="17"/>
        <v>176.125</v>
      </c>
      <c r="I42" s="12">
        <f t="shared" si="12"/>
        <v>179.75</v>
      </c>
      <c r="J42" s="12">
        <f t="shared" si="18"/>
        <v>1.3013043818759331</v>
      </c>
      <c r="K42" s="12">
        <f t="shared" si="13"/>
        <v>1.9455144719135247</v>
      </c>
      <c r="L42" s="3">
        <f t="shared" si="19"/>
        <v>0.4032</v>
      </c>
      <c r="M42" s="3">
        <v>0.47439999999999999</v>
      </c>
      <c r="N42" s="24">
        <f t="shared" si="14"/>
        <v>7.1199999999999986E-2</v>
      </c>
      <c r="O42" s="12">
        <f t="shared" si="15"/>
        <v>7.1199999999999983</v>
      </c>
      <c r="P42" s="25">
        <f t="shared" si="16"/>
        <v>0.05</v>
      </c>
    </row>
    <row r="43" spans="1:17" x14ac:dyDescent="0.2">
      <c r="A43" s="1">
        <v>8</v>
      </c>
      <c r="B43" s="1">
        <v>164</v>
      </c>
      <c r="C43" s="1">
        <v>60</v>
      </c>
      <c r="D43" s="22">
        <v>167</v>
      </c>
      <c r="E43" s="2">
        <v>65</v>
      </c>
      <c r="G43" s="9">
        <v>7</v>
      </c>
      <c r="H43" s="12">
        <f t="shared" si="17"/>
        <v>179.75</v>
      </c>
      <c r="I43" s="12">
        <f t="shared" si="12"/>
        <v>183.375</v>
      </c>
      <c r="J43" s="12">
        <f t="shared" si="18"/>
        <v>1.9455144719135247</v>
      </c>
      <c r="K43" s="12">
        <f t="shared" si="13"/>
        <v>2.5897245619511162</v>
      </c>
      <c r="L43" s="3">
        <f t="shared" si="19"/>
        <v>0.47439999999999999</v>
      </c>
      <c r="M43" s="1">
        <v>0.49519999999999997</v>
      </c>
      <c r="N43" s="24">
        <f t="shared" si="14"/>
        <v>2.0799999999999985E-2</v>
      </c>
      <c r="O43" s="12">
        <f t="shared" si="15"/>
        <v>2.0799999999999983</v>
      </c>
      <c r="P43" s="25">
        <f t="shared" si="16"/>
        <v>0.03</v>
      </c>
    </row>
    <row r="44" spans="1:17" x14ac:dyDescent="0.2">
      <c r="A44" s="1">
        <v>9</v>
      </c>
      <c r="B44" s="1">
        <v>164</v>
      </c>
      <c r="C44" s="1">
        <v>61</v>
      </c>
      <c r="D44" s="22">
        <v>167</v>
      </c>
      <c r="E44" s="2">
        <v>63</v>
      </c>
      <c r="G44" s="9">
        <v>8</v>
      </c>
      <c r="H44" s="12">
        <f t="shared" si="17"/>
        <v>183.375</v>
      </c>
      <c r="I44" s="12">
        <f t="shared" si="12"/>
        <v>187</v>
      </c>
      <c r="J44" s="12">
        <f t="shared" si="18"/>
        <v>2.5897245619511162</v>
      </c>
      <c r="K44" s="12">
        <f t="shared" si="13"/>
        <v>3.2339346519887076</v>
      </c>
      <c r="L44" s="3">
        <f t="shared" si="19"/>
        <v>0.49519999999999997</v>
      </c>
      <c r="M44" s="3">
        <v>0.5</v>
      </c>
      <c r="N44" s="24">
        <f t="shared" si="14"/>
        <v>4.8000000000000265E-3</v>
      </c>
      <c r="O44" s="12">
        <f t="shared" si="15"/>
        <v>0.48000000000000265</v>
      </c>
      <c r="P44" s="25">
        <f t="shared" si="16"/>
        <v>0.01</v>
      </c>
    </row>
    <row r="45" spans="1:17" x14ac:dyDescent="0.2">
      <c r="A45" s="1">
        <v>10</v>
      </c>
      <c r="B45" s="1">
        <v>179</v>
      </c>
      <c r="C45" s="1">
        <v>69</v>
      </c>
      <c r="D45" s="22">
        <v>167</v>
      </c>
      <c r="E45" s="2">
        <v>65</v>
      </c>
      <c r="N45" s="24">
        <f>SUM(N37:N44)</f>
        <v>0.99999999999999989</v>
      </c>
      <c r="O45" s="12">
        <f>SUM(O37:O44)</f>
        <v>100</v>
      </c>
    </row>
    <row r="46" spans="1:17" x14ac:dyDescent="0.2">
      <c r="A46" s="1">
        <v>11</v>
      </c>
      <c r="B46" s="1">
        <v>170</v>
      </c>
      <c r="C46" s="1">
        <v>69</v>
      </c>
      <c r="D46" s="22">
        <v>167</v>
      </c>
      <c r="E46" s="2">
        <v>53</v>
      </c>
    </row>
    <row r="47" spans="1:17" x14ac:dyDescent="0.2">
      <c r="A47" s="1">
        <v>12</v>
      </c>
      <c r="B47" s="1">
        <v>173</v>
      </c>
      <c r="C47" s="1">
        <v>72</v>
      </c>
      <c r="D47" s="22">
        <v>167</v>
      </c>
      <c r="E47" s="2">
        <v>63</v>
      </c>
      <c r="G47" s="3" t="s">
        <v>67</v>
      </c>
      <c r="H47" s="25" t="s">
        <v>16</v>
      </c>
      <c r="I47" s="10" t="s">
        <v>17</v>
      </c>
      <c r="J47" s="10" t="s">
        <v>18</v>
      </c>
      <c r="K47" s="26" t="s">
        <v>68</v>
      </c>
      <c r="L47" s="3" t="s">
        <v>65</v>
      </c>
      <c r="M47" s="27" t="s">
        <v>65</v>
      </c>
      <c r="N47" s="27" t="s">
        <v>69</v>
      </c>
      <c r="O47" s="3" t="s">
        <v>70</v>
      </c>
      <c r="P47" s="1" t="s">
        <v>71</v>
      </c>
      <c r="Q47" s="3"/>
    </row>
    <row r="48" spans="1:17" x14ac:dyDescent="0.2">
      <c r="A48" s="1">
        <v>13</v>
      </c>
      <c r="B48" s="1">
        <v>162</v>
      </c>
      <c r="C48" s="1">
        <v>61</v>
      </c>
      <c r="D48" s="22">
        <v>167</v>
      </c>
      <c r="E48" s="2">
        <v>58</v>
      </c>
      <c r="G48" s="28">
        <f t="shared" ref="G48:G55" si="20">N37/$K$27</f>
        <v>5.9418551265532206E-4</v>
      </c>
      <c r="H48" s="12">
        <f t="shared" ref="H48:I55" si="21">H37</f>
        <v>158</v>
      </c>
      <c r="I48" s="12">
        <f t="shared" si="21"/>
        <v>161.625</v>
      </c>
      <c r="J48" s="3">
        <f t="shared" ref="J48:J55" si="22">J7</f>
        <v>9</v>
      </c>
      <c r="K48" s="29">
        <f>J48</f>
        <v>9</v>
      </c>
      <c r="L48" s="8">
        <f t="shared" ref="L48:L55" si="23">O37</f>
        <v>10.029999999999999</v>
      </c>
      <c r="M48" s="30">
        <f>L48</f>
        <v>10.029999999999999</v>
      </c>
      <c r="N48" s="30">
        <f t="shared" ref="N48:N53" si="24">K48-M48</f>
        <v>-1.0299999999999994</v>
      </c>
      <c r="O48" s="8">
        <f t="shared" ref="O48:O53" si="25">N48*N48/M48</f>
        <v>0.10577268195413746</v>
      </c>
      <c r="P48" s="1">
        <f t="shared" ref="P48:P53" si="26">K48*K48/M48</f>
        <v>8.0757726819541382</v>
      </c>
      <c r="Q48" s="3">
        <v>1</v>
      </c>
    </row>
    <row r="49" spans="1:18" x14ac:dyDescent="0.2">
      <c r="A49" s="1">
        <v>14</v>
      </c>
      <c r="B49" s="1">
        <v>167</v>
      </c>
      <c r="C49" s="1">
        <v>63</v>
      </c>
      <c r="D49" s="22">
        <v>167</v>
      </c>
      <c r="E49" s="2">
        <v>63</v>
      </c>
      <c r="G49" s="28">
        <f t="shared" si="20"/>
        <v>9.7154959197879177E-4</v>
      </c>
      <c r="H49" s="12">
        <f t="shared" si="21"/>
        <v>161.625</v>
      </c>
      <c r="I49" s="12">
        <f t="shared" si="21"/>
        <v>165.25</v>
      </c>
      <c r="J49" s="14">
        <f t="shared" si="22"/>
        <v>22</v>
      </c>
      <c r="K49" s="29">
        <f>J49</f>
        <v>22</v>
      </c>
      <c r="L49" s="8">
        <f t="shared" si="23"/>
        <v>16.400000000000002</v>
      </c>
      <c r="M49" s="30">
        <f>L49</f>
        <v>16.400000000000002</v>
      </c>
      <c r="N49" s="30">
        <f t="shared" si="24"/>
        <v>5.5999999999999979</v>
      </c>
      <c r="O49" s="8">
        <f t="shared" si="25"/>
        <v>1.9121951219512177</v>
      </c>
      <c r="P49" s="1">
        <f t="shared" si="26"/>
        <v>29.512195121951216</v>
      </c>
      <c r="Q49" s="3">
        <v>2</v>
      </c>
    </row>
    <row r="50" spans="1:18" x14ac:dyDescent="0.2">
      <c r="A50" s="1">
        <v>15</v>
      </c>
      <c r="B50" s="1">
        <v>173</v>
      </c>
      <c r="C50" s="1">
        <v>69</v>
      </c>
      <c r="D50" s="22">
        <v>168</v>
      </c>
      <c r="E50" s="2">
        <v>62</v>
      </c>
      <c r="G50" s="28">
        <f t="shared" si="20"/>
        <v>1.4200026658372949E-3</v>
      </c>
      <c r="H50" s="12">
        <f t="shared" si="21"/>
        <v>165.25</v>
      </c>
      <c r="I50" s="12">
        <f t="shared" si="21"/>
        <v>168.875</v>
      </c>
      <c r="J50" s="14">
        <f t="shared" si="22"/>
        <v>20</v>
      </c>
      <c r="K50" s="29">
        <f>J50</f>
        <v>20</v>
      </c>
      <c r="L50" s="8">
        <f t="shared" si="23"/>
        <v>23.97</v>
      </c>
      <c r="M50" s="30">
        <f>L50</f>
        <v>23.97</v>
      </c>
      <c r="N50" s="30">
        <f t="shared" si="24"/>
        <v>-3.9699999999999989</v>
      </c>
      <c r="O50" s="8">
        <f t="shared" si="25"/>
        <v>0.65752607425949072</v>
      </c>
      <c r="P50" s="1">
        <f t="shared" si="26"/>
        <v>16.687526074259491</v>
      </c>
      <c r="Q50" s="3">
        <v>3</v>
      </c>
    </row>
    <row r="51" spans="1:18" x14ac:dyDescent="0.2">
      <c r="A51" s="1">
        <v>16</v>
      </c>
      <c r="B51" s="1">
        <v>174</v>
      </c>
      <c r="C51" s="1">
        <v>74</v>
      </c>
      <c r="D51" s="22">
        <v>168</v>
      </c>
      <c r="E51" s="2">
        <v>54</v>
      </c>
      <c r="G51" s="28">
        <f t="shared" si="20"/>
        <v>1.430073606729758E-3</v>
      </c>
      <c r="H51" s="12">
        <f t="shared" si="21"/>
        <v>168.875</v>
      </c>
      <c r="I51" s="12">
        <f t="shared" si="21"/>
        <v>172.5</v>
      </c>
      <c r="J51" s="14">
        <f t="shared" si="22"/>
        <v>24</v>
      </c>
      <c r="K51" s="29">
        <f>J51</f>
        <v>24</v>
      </c>
      <c r="L51" s="8">
        <f t="shared" si="23"/>
        <v>24.14</v>
      </c>
      <c r="M51" s="30">
        <f>L51</f>
        <v>24.14</v>
      </c>
      <c r="N51" s="30">
        <f t="shared" si="24"/>
        <v>-0.14000000000000057</v>
      </c>
      <c r="O51" s="8">
        <f t="shared" si="25"/>
        <v>8.1193040596520957E-4</v>
      </c>
      <c r="P51" s="1">
        <f t="shared" si="26"/>
        <v>23.860811930405966</v>
      </c>
      <c r="Q51" s="3">
        <v>4</v>
      </c>
    </row>
    <row r="52" spans="1:18" x14ac:dyDescent="0.2">
      <c r="A52" s="1">
        <v>17</v>
      </c>
      <c r="B52" s="1">
        <v>170</v>
      </c>
      <c r="C52" s="1">
        <v>65</v>
      </c>
      <c r="D52" s="22">
        <v>168</v>
      </c>
      <c r="E52" s="2">
        <v>68</v>
      </c>
      <c r="G52" s="28">
        <f t="shared" si="20"/>
        <v>9.3482027813569107E-4</v>
      </c>
      <c r="H52" s="12">
        <f t="shared" si="21"/>
        <v>172.5</v>
      </c>
      <c r="I52" s="12">
        <f t="shared" si="21"/>
        <v>176.125</v>
      </c>
      <c r="J52" s="14">
        <f t="shared" si="22"/>
        <v>16</v>
      </c>
      <c r="K52" s="29">
        <f>J52</f>
        <v>16</v>
      </c>
      <c r="L52" s="8">
        <f t="shared" si="23"/>
        <v>15.78</v>
      </c>
      <c r="M52" s="30">
        <f>L52</f>
        <v>15.78</v>
      </c>
      <c r="N52" s="30">
        <f t="shared" si="24"/>
        <v>0.22000000000000064</v>
      </c>
      <c r="O52" s="8">
        <f t="shared" si="25"/>
        <v>3.0671736375158607E-3</v>
      </c>
      <c r="P52" s="1">
        <f t="shared" si="26"/>
        <v>16.223067173637517</v>
      </c>
      <c r="Q52" s="3">
        <v>5</v>
      </c>
    </row>
    <row r="53" spans="1:18" x14ac:dyDescent="0.2">
      <c r="A53" s="1">
        <v>18</v>
      </c>
      <c r="B53" s="1">
        <v>160</v>
      </c>
      <c r="C53" s="1">
        <v>60</v>
      </c>
      <c r="D53" s="31">
        <v>169</v>
      </c>
      <c r="E53" s="2">
        <v>73</v>
      </c>
      <c r="F53" s="1" t="s">
        <v>72</v>
      </c>
      <c r="G53" s="28">
        <f t="shared" si="20"/>
        <v>4.2179470090786557E-4</v>
      </c>
      <c r="H53" s="12">
        <f t="shared" si="21"/>
        <v>176.125</v>
      </c>
      <c r="I53" s="12">
        <f t="shared" si="21"/>
        <v>179.75</v>
      </c>
      <c r="J53" s="14">
        <f t="shared" si="22"/>
        <v>5</v>
      </c>
      <c r="K53" s="29">
        <f>J53+J54+J55</f>
        <v>9</v>
      </c>
      <c r="L53" s="8">
        <f t="shared" si="23"/>
        <v>7.1199999999999983</v>
      </c>
      <c r="M53" s="29">
        <f>L53+L54+L55</f>
        <v>9.6799999999999979</v>
      </c>
      <c r="N53" s="30">
        <f t="shared" si="24"/>
        <v>-0.67999999999999794</v>
      </c>
      <c r="O53" s="8">
        <f t="shared" si="25"/>
        <v>4.7768595041322033E-2</v>
      </c>
      <c r="P53" s="1">
        <f t="shared" si="26"/>
        <v>8.3677685950413245</v>
      </c>
      <c r="Q53" s="3">
        <v>6</v>
      </c>
    </row>
    <row r="54" spans="1:18" x14ac:dyDescent="0.2">
      <c r="A54" s="1">
        <v>19</v>
      </c>
      <c r="B54" s="1">
        <v>171</v>
      </c>
      <c r="C54" s="1">
        <v>64</v>
      </c>
      <c r="D54" s="31">
        <v>169</v>
      </c>
      <c r="E54" s="2">
        <v>60</v>
      </c>
      <c r="G54" s="28">
        <f t="shared" si="20"/>
        <v>1.2322092386072471E-4</v>
      </c>
      <c r="H54" s="12">
        <f t="shared" si="21"/>
        <v>179.75</v>
      </c>
      <c r="I54" s="12">
        <f t="shared" si="21"/>
        <v>183.375</v>
      </c>
      <c r="J54" s="14">
        <f t="shared" si="22"/>
        <v>3</v>
      </c>
      <c r="K54" s="29"/>
      <c r="L54" s="8">
        <f t="shared" si="23"/>
        <v>2.0799999999999983</v>
      </c>
      <c r="M54" s="30"/>
      <c r="N54" s="30"/>
      <c r="O54" s="8"/>
      <c r="Q54" s="3">
        <v>7</v>
      </c>
    </row>
    <row r="55" spans="1:18" x14ac:dyDescent="0.2">
      <c r="A55" s="1">
        <v>20</v>
      </c>
      <c r="B55" s="1">
        <v>173</v>
      </c>
      <c r="C55" s="1">
        <v>77</v>
      </c>
      <c r="D55" s="31">
        <v>169</v>
      </c>
      <c r="E55" s="2">
        <v>57</v>
      </c>
      <c r="G55" s="28">
        <f t="shared" si="20"/>
        <v>2.8435597814013575E-5</v>
      </c>
      <c r="H55" s="12">
        <f t="shared" si="21"/>
        <v>183.375</v>
      </c>
      <c r="I55" s="12">
        <f t="shared" si="21"/>
        <v>187</v>
      </c>
      <c r="J55" s="14">
        <f t="shared" si="22"/>
        <v>1</v>
      </c>
      <c r="K55" s="29"/>
      <c r="L55" s="8">
        <f t="shared" si="23"/>
        <v>0.48000000000000265</v>
      </c>
      <c r="M55" s="30"/>
      <c r="N55" s="30"/>
      <c r="O55" s="8"/>
      <c r="Q55" s="3">
        <v>8</v>
      </c>
    </row>
    <row r="56" spans="1:18" x14ac:dyDescent="0.2">
      <c r="A56" s="1">
        <v>21</v>
      </c>
      <c r="B56" s="1">
        <v>168</v>
      </c>
      <c r="C56" s="1">
        <v>54</v>
      </c>
      <c r="D56" s="31">
        <v>169</v>
      </c>
      <c r="E56" s="2">
        <v>61</v>
      </c>
      <c r="K56" s="14">
        <f>SUM(K48:K55)</f>
        <v>100</v>
      </c>
      <c r="L56" s="14">
        <f>SUM(L48:L55)</f>
        <v>100</v>
      </c>
      <c r="M56" s="8">
        <f>SUM(M48:M54)</f>
        <v>99.999999999999986</v>
      </c>
      <c r="N56" s="1" t="s">
        <v>73</v>
      </c>
      <c r="O56" s="8">
        <f>SUM(O48:O55)</f>
        <v>2.7271415772496495</v>
      </c>
      <c r="P56" s="8">
        <f>SUM(P48:P55)</f>
        <v>102.72714157724967</v>
      </c>
    </row>
    <row r="57" spans="1:18" x14ac:dyDescent="0.2">
      <c r="A57" s="1">
        <v>22</v>
      </c>
      <c r="B57" s="1">
        <v>172</v>
      </c>
      <c r="C57" s="1">
        <v>70</v>
      </c>
      <c r="D57" s="31">
        <v>169</v>
      </c>
      <c r="E57" s="2">
        <v>75</v>
      </c>
      <c r="L57" s="1" t="s">
        <v>74</v>
      </c>
      <c r="M57" s="1" t="s">
        <v>75</v>
      </c>
      <c r="N57" s="1">
        <f>H30/SQRT(100)</f>
        <v>0.56270462944603539</v>
      </c>
      <c r="P57" s="8">
        <f>P56-100</f>
        <v>2.7271415772496681</v>
      </c>
    </row>
    <row r="58" spans="1:18" x14ac:dyDescent="0.2">
      <c r="A58" s="1">
        <v>23</v>
      </c>
      <c r="B58" s="1">
        <v>175</v>
      </c>
      <c r="C58" s="1">
        <v>59</v>
      </c>
      <c r="D58" s="31">
        <v>170</v>
      </c>
      <c r="E58" s="2">
        <v>73</v>
      </c>
      <c r="G58" s="5"/>
      <c r="H58" s="8"/>
      <c r="J58" s="5"/>
      <c r="L58" s="1" t="s">
        <v>76</v>
      </c>
      <c r="M58" s="1" t="s">
        <v>77</v>
      </c>
      <c r="N58" s="8">
        <v>7.8</v>
      </c>
      <c r="P58" s="1" t="s">
        <v>14</v>
      </c>
    </row>
    <row r="59" spans="1:18" x14ac:dyDescent="0.2">
      <c r="A59" s="1">
        <v>24</v>
      </c>
      <c r="B59" s="1">
        <v>164</v>
      </c>
      <c r="C59" s="1">
        <v>61</v>
      </c>
      <c r="D59" s="31">
        <v>170</v>
      </c>
      <c r="E59" s="2">
        <v>69</v>
      </c>
    </row>
    <row r="60" spans="1:18" x14ac:dyDescent="0.2">
      <c r="A60" s="1">
        <v>25</v>
      </c>
      <c r="B60" s="1">
        <v>167</v>
      </c>
      <c r="C60" s="1">
        <v>65</v>
      </c>
      <c r="D60" s="31">
        <v>170</v>
      </c>
      <c r="E60" s="2">
        <v>65</v>
      </c>
      <c r="H60" s="6" t="s">
        <v>78</v>
      </c>
      <c r="I60" s="6"/>
      <c r="J60" s="6"/>
      <c r="K60" s="1" t="s">
        <v>79</v>
      </c>
    </row>
    <row r="61" spans="1:18" x14ac:dyDescent="0.2">
      <c r="A61" s="1">
        <v>26</v>
      </c>
      <c r="B61" s="1">
        <v>169</v>
      </c>
      <c r="C61" s="1">
        <v>57</v>
      </c>
      <c r="D61" s="31">
        <v>171</v>
      </c>
      <c r="E61" s="2">
        <v>72</v>
      </c>
    </row>
    <row r="62" spans="1:18" x14ac:dyDescent="0.2">
      <c r="A62" s="1">
        <v>27</v>
      </c>
      <c r="B62" s="1">
        <v>166</v>
      </c>
      <c r="C62" s="1">
        <v>55</v>
      </c>
      <c r="D62" s="31">
        <v>171</v>
      </c>
      <c r="E62" s="2">
        <v>67</v>
      </c>
      <c r="G62" s="1" t="s">
        <v>80</v>
      </c>
      <c r="I62" s="1">
        <f>MIN(C2:C101)</f>
        <v>50</v>
      </c>
      <c r="J62" s="1" t="s">
        <v>81</v>
      </c>
      <c r="K62" s="1">
        <f>MAX(C2:C101)</f>
        <v>84</v>
      </c>
      <c r="L62" s="1" t="str">
        <f>G3</f>
        <v>k=</v>
      </c>
      <c r="M62" s="1">
        <f>H3</f>
        <v>8</v>
      </c>
      <c r="O62" s="1" t="str">
        <f>G4</f>
        <v>h=</v>
      </c>
      <c r="P62" s="1">
        <f>H63/M62</f>
        <v>4.25</v>
      </c>
    </row>
    <row r="63" spans="1:18" x14ac:dyDescent="0.2">
      <c r="A63" s="1">
        <v>28</v>
      </c>
      <c r="B63" s="1">
        <v>162</v>
      </c>
      <c r="C63" s="1">
        <v>56</v>
      </c>
      <c r="D63" s="31">
        <v>171</v>
      </c>
      <c r="E63" s="2">
        <v>67</v>
      </c>
      <c r="G63" s="1" t="str">
        <f>G2</f>
        <v>R</v>
      </c>
      <c r="H63" s="1">
        <f>K62-I62</f>
        <v>34</v>
      </c>
      <c r="I63" s="1" t="str">
        <f>I2</f>
        <v>разброс</v>
      </c>
    </row>
    <row r="64" spans="1:18" x14ac:dyDescent="0.2">
      <c r="A64" s="1">
        <v>29</v>
      </c>
      <c r="B64" s="1">
        <v>164</v>
      </c>
      <c r="C64" s="1">
        <v>62</v>
      </c>
      <c r="D64" s="31">
        <v>171</v>
      </c>
      <c r="E64" s="2">
        <v>64</v>
      </c>
      <c r="I64" s="1" t="s">
        <v>1</v>
      </c>
      <c r="J64" s="3">
        <v>0</v>
      </c>
      <c r="K64" s="3">
        <v>1</v>
      </c>
      <c r="L64" s="3">
        <v>2</v>
      </c>
      <c r="M64" s="3">
        <v>3</v>
      </c>
      <c r="N64" s="3">
        <v>4</v>
      </c>
      <c r="O64" s="3">
        <v>5</v>
      </c>
      <c r="P64" s="3">
        <v>6</v>
      </c>
      <c r="Q64" s="3">
        <v>7</v>
      </c>
      <c r="R64" s="3">
        <v>8</v>
      </c>
    </row>
    <row r="65" spans="1:21" x14ac:dyDescent="0.2">
      <c r="A65" s="1">
        <v>30</v>
      </c>
      <c r="B65" s="1">
        <v>171</v>
      </c>
      <c r="C65" s="1">
        <v>76</v>
      </c>
      <c r="D65" s="31">
        <v>171</v>
      </c>
      <c r="E65" s="2">
        <v>76</v>
      </c>
      <c r="H65" s="1" t="s">
        <v>0</v>
      </c>
      <c r="J65" s="12">
        <f>I62</f>
        <v>50</v>
      </c>
      <c r="K65" s="12">
        <f t="shared" ref="K65:R65" si="27">J65+$P$62</f>
        <v>54.25</v>
      </c>
      <c r="L65" s="12">
        <f t="shared" si="27"/>
        <v>58.5</v>
      </c>
      <c r="M65" s="12">
        <f t="shared" si="27"/>
        <v>62.75</v>
      </c>
      <c r="N65" s="12">
        <f t="shared" si="27"/>
        <v>67</v>
      </c>
      <c r="O65" s="12">
        <f t="shared" si="27"/>
        <v>71.25</v>
      </c>
      <c r="P65" s="12">
        <f t="shared" si="27"/>
        <v>75.5</v>
      </c>
      <c r="Q65" s="12">
        <f t="shared" si="27"/>
        <v>79.75</v>
      </c>
      <c r="R65" s="32">
        <f t="shared" si="27"/>
        <v>84</v>
      </c>
    </row>
    <row r="66" spans="1:21" x14ac:dyDescent="0.2">
      <c r="A66" s="1">
        <v>31</v>
      </c>
      <c r="B66" s="1">
        <v>161</v>
      </c>
      <c r="C66" s="1">
        <v>52</v>
      </c>
      <c r="D66" s="31">
        <v>171</v>
      </c>
      <c r="E66" s="2">
        <v>60</v>
      </c>
      <c r="G66" s="9">
        <f t="shared" ref="G66:I73" si="28">G7</f>
        <v>1</v>
      </c>
      <c r="H66" s="12">
        <f t="shared" si="28"/>
        <v>158</v>
      </c>
      <c r="I66" s="12">
        <f t="shared" si="28"/>
        <v>161.625</v>
      </c>
      <c r="J66" s="33"/>
      <c r="K66" s="34">
        <f>COUNTIF($E$2:$E$10,"&lt;=54")</f>
        <v>3</v>
      </c>
      <c r="L66" s="35">
        <f>COUNTIF(E2:E10,"&lt;=58")-K66</f>
        <v>2</v>
      </c>
      <c r="M66" s="31">
        <f>COUNTIF(E2:E10,"&lt;=62")-L66-K66</f>
        <v>2</v>
      </c>
      <c r="N66" s="36">
        <f>COUNTIF($E$2:$E$10,"&lt;=67")-M66-L66-K66</f>
        <v>1</v>
      </c>
      <c r="O66" s="6">
        <f>COUNTIF($E$2:$E$10,"&lt;=71")-N66-M66-L66-K66</f>
        <v>1</v>
      </c>
      <c r="P66" s="7">
        <v>0</v>
      </c>
      <c r="Q66" s="37">
        <v>0</v>
      </c>
      <c r="R66" s="38">
        <v>0</v>
      </c>
      <c r="S66" s="1">
        <f t="shared" ref="S66:S73" si="29">SUM(K66:R66)</f>
        <v>9</v>
      </c>
      <c r="T66" s="1">
        <f t="shared" ref="T66:T73" si="30">J48</f>
        <v>9</v>
      </c>
      <c r="U66" s="1">
        <f t="shared" ref="U66:U73" si="31">G66</f>
        <v>1</v>
      </c>
    </row>
    <row r="67" spans="1:21" x14ac:dyDescent="0.2">
      <c r="A67" s="1">
        <v>32</v>
      </c>
      <c r="B67" s="1">
        <v>180</v>
      </c>
      <c r="C67" s="1">
        <v>65</v>
      </c>
      <c r="D67" s="31">
        <v>171</v>
      </c>
      <c r="E67" s="2">
        <v>72</v>
      </c>
      <c r="G67" s="9">
        <f t="shared" si="28"/>
        <v>2</v>
      </c>
      <c r="H67" s="12">
        <f t="shared" si="28"/>
        <v>161.625</v>
      </c>
      <c r="I67" s="12">
        <f t="shared" si="28"/>
        <v>165.25</v>
      </c>
      <c r="J67" s="33"/>
      <c r="K67" s="34">
        <f>COUNTIF($E$11:$E$32,"&lt;=54")</f>
        <v>2</v>
      </c>
      <c r="L67" s="35">
        <f>COUNTIF($E$11:$E$32,"&lt;=58")-K67</f>
        <v>3</v>
      </c>
      <c r="M67" s="31">
        <f>COUNTIF($E$11:$E$32,"&lt;=62")-L67-K67</f>
        <v>9</v>
      </c>
      <c r="N67" s="36">
        <f>COUNTIF($E$11:$E$32,"&lt;=67")-M67-L67-K67</f>
        <v>5</v>
      </c>
      <c r="O67" s="6">
        <f>COUNTIF($E$11:$E$32,"&lt;=71")-N67-M67-L67-K67</f>
        <v>2</v>
      </c>
      <c r="P67" s="7">
        <f>COUNTIF($E$11:$E$32,"&lt;=75")-O67-N67-M67-L67-K67</f>
        <v>1</v>
      </c>
      <c r="Q67" s="37">
        <f>COUNTIF($E$11:$E$32,"&lt;=79")-P67-O67-N67-M67-L67-K67</f>
        <v>0</v>
      </c>
      <c r="R67" s="38">
        <f>COUNTIF($E$11:$E$32,"&lt;=84")-Q67-P67-O67-N67-M67-L67-K67</f>
        <v>0</v>
      </c>
      <c r="S67" s="1">
        <f t="shared" si="29"/>
        <v>22</v>
      </c>
      <c r="T67" s="19">
        <f t="shared" si="30"/>
        <v>22</v>
      </c>
      <c r="U67" s="1">
        <f t="shared" si="31"/>
        <v>2</v>
      </c>
    </row>
    <row r="68" spans="1:21" x14ac:dyDescent="0.2">
      <c r="A68" s="1">
        <v>33</v>
      </c>
      <c r="B68" s="1">
        <v>168</v>
      </c>
      <c r="C68" s="1">
        <v>68</v>
      </c>
      <c r="D68" s="31">
        <v>171</v>
      </c>
      <c r="E68" s="2">
        <v>60</v>
      </c>
      <c r="G68" s="9">
        <f t="shared" si="28"/>
        <v>3</v>
      </c>
      <c r="H68" s="12">
        <f t="shared" si="28"/>
        <v>165.25</v>
      </c>
      <c r="I68" s="12">
        <f t="shared" si="28"/>
        <v>168.875</v>
      </c>
      <c r="J68" s="33"/>
      <c r="K68" s="34">
        <f>COUNTIF($E$33:$E$52,"&lt;=54")</f>
        <v>3</v>
      </c>
      <c r="L68" s="35">
        <f>COUNTIF($E$33:$E$52,"&lt;=58")-K68</f>
        <v>5</v>
      </c>
      <c r="M68" s="31">
        <f>COUNTIF($E$33:$E$52,"&lt;=62")-L68-K68</f>
        <v>3</v>
      </c>
      <c r="N68" s="36">
        <f>COUNTIF($E$33:$E$52,"&lt;=67")-M68-L68-K68</f>
        <v>8</v>
      </c>
      <c r="O68" s="6">
        <f>COUNTIF($E$33:$E$52,"&lt;=71")-N68-M68-L68-K68</f>
        <v>1</v>
      </c>
      <c r="P68" s="7">
        <f>COUNTIF($E$33:$E$52,"&lt;=75")-O68-N68-M68-L68-K68</f>
        <v>0</v>
      </c>
      <c r="Q68" s="37">
        <f>COUNTIF($E$33:$E$52,"&lt;=79")-P68-O68-N68-M68-L68-K68</f>
        <v>0</v>
      </c>
      <c r="R68" s="38">
        <f>COUNTIF($E$33:$E$52,"&lt;=84")-Q68-P68-O68-N68-M68-L68-K68</f>
        <v>0</v>
      </c>
      <c r="S68" s="1">
        <f t="shared" si="29"/>
        <v>20</v>
      </c>
      <c r="T68" s="19">
        <f t="shared" si="30"/>
        <v>20</v>
      </c>
      <c r="U68" s="1">
        <f t="shared" si="31"/>
        <v>3</v>
      </c>
    </row>
    <row r="69" spans="1:21" x14ac:dyDescent="0.2">
      <c r="A69" s="1">
        <v>1</v>
      </c>
      <c r="B69" s="1">
        <v>172</v>
      </c>
      <c r="C69" s="1">
        <v>69</v>
      </c>
      <c r="D69" s="31">
        <v>171</v>
      </c>
      <c r="E69" s="2">
        <v>67</v>
      </c>
      <c r="G69" s="9">
        <f t="shared" si="28"/>
        <v>4</v>
      </c>
      <c r="H69" s="12">
        <f t="shared" si="28"/>
        <v>168.875</v>
      </c>
      <c r="I69" s="12">
        <f t="shared" si="28"/>
        <v>172.5</v>
      </c>
      <c r="J69" s="33"/>
      <c r="K69" s="34">
        <f>COUNTIF($E$53:$E$76,"&lt;=54")</f>
        <v>0</v>
      </c>
      <c r="L69" s="35">
        <f>COUNTIF($E$53:$E$76,"&lt;=58")-K69</f>
        <v>1</v>
      </c>
      <c r="M69" s="31">
        <f>COUNTIF($E$53:$E$76,"&lt;=62")-L69-K69</f>
        <v>4</v>
      </c>
      <c r="N69" s="36">
        <f>COUNTIF($E$53:$E$76,"&lt;=67")-M69-L69-K69</f>
        <v>5</v>
      </c>
      <c r="O69" s="6">
        <f>COUNTIF($E$53:$E$76,"&lt;=71")-N69-M69-L69-K69</f>
        <v>6</v>
      </c>
      <c r="P69" s="7">
        <f>COUNTIF($E$53:$E$76,"&lt;=75")-O69-N69-M69-L69-K69</f>
        <v>7</v>
      </c>
      <c r="Q69" s="37">
        <f>COUNTIF($E$53:$E$76,"&lt;=79")-P69-O69-N69-M69-L69-K69</f>
        <v>1</v>
      </c>
      <c r="R69" s="38">
        <f>COUNTIF($E$53:$E$76,"&lt;=84")-Q69-P69-O69-N69-M69-L69-K69</f>
        <v>0</v>
      </c>
      <c r="S69" s="1">
        <f t="shared" si="29"/>
        <v>24</v>
      </c>
      <c r="T69" s="19">
        <f t="shared" si="30"/>
        <v>24</v>
      </c>
      <c r="U69" s="1">
        <f t="shared" si="31"/>
        <v>4</v>
      </c>
    </row>
    <row r="70" spans="1:21" x14ac:dyDescent="0.2">
      <c r="A70" s="1">
        <v>2</v>
      </c>
      <c r="B70" s="1">
        <v>173</v>
      </c>
      <c r="C70" s="1">
        <v>66</v>
      </c>
      <c r="D70" s="31">
        <v>172</v>
      </c>
      <c r="E70" s="2">
        <v>70</v>
      </c>
      <c r="G70" s="9">
        <f t="shared" si="28"/>
        <v>5</v>
      </c>
      <c r="H70" s="12">
        <f t="shared" si="28"/>
        <v>172.5</v>
      </c>
      <c r="I70" s="12">
        <f t="shared" si="28"/>
        <v>176.125</v>
      </c>
      <c r="J70" s="33"/>
      <c r="K70" s="34">
        <f>COUNTIF($E$77:$E$92,"&lt;=54")</f>
        <v>0</v>
      </c>
      <c r="L70" s="35">
        <f>COUNTIF($E$77:$E$92,"&lt;=58")-K70</f>
        <v>0</v>
      </c>
      <c r="M70" s="31">
        <f>COUNTIF($E$77:$E$92,"&lt;=62")-L70-K70</f>
        <v>1</v>
      </c>
      <c r="N70" s="36">
        <f>COUNTIF($E$77:$E$92,"&lt;=67")-M70-L70-K70</f>
        <v>5</v>
      </c>
      <c r="O70" s="6">
        <f>COUNTIF($E$77:$E$92,"&lt;=71")-N70-M70-L70-K70</f>
        <v>5</v>
      </c>
      <c r="P70" s="7">
        <f>COUNTIF($E$77:$E$92,"&lt;=75")-O70-N70-M70-L70-K70</f>
        <v>4</v>
      </c>
      <c r="Q70" s="37">
        <f>COUNTIF($E$77:$E$92,"&lt;=79")-P70-O70-N70-M70-L70-K70</f>
        <v>1</v>
      </c>
      <c r="R70" s="38">
        <f>COUNTIF($E$77:$E$92,"&lt;=84")-Q70-P70-O70-N70-M70-L70-K70</f>
        <v>0</v>
      </c>
      <c r="S70" s="1">
        <f t="shared" si="29"/>
        <v>16</v>
      </c>
      <c r="T70" s="19">
        <f t="shared" si="30"/>
        <v>16</v>
      </c>
      <c r="U70" s="1">
        <f t="shared" si="31"/>
        <v>5</v>
      </c>
    </row>
    <row r="71" spans="1:21" x14ac:dyDescent="0.2">
      <c r="A71" s="1">
        <v>3</v>
      </c>
      <c r="B71" s="1">
        <v>169</v>
      </c>
      <c r="C71" s="1">
        <v>61</v>
      </c>
      <c r="D71" s="31">
        <v>172</v>
      </c>
      <c r="E71" s="2">
        <v>70</v>
      </c>
      <c r="G71" s="9">
        <f t="shared" si="28"/>
        <v>6</v>
      </c>
      <c r="H71" s="12">
        <f t="shared" si="28"/>
        <v>176.125</v>
      </c>
      <c r="I71" s="12">
        <f t="shared" si="28"/>
        <v>179.75</v>
      </c>
      <c r="J71" s="33"/>
      <c r="K71" s="34">
        <f>COUNTIF($E$93:$E$97,"&lt;=54")</f>
        <v>0</v>
      </c>
      <c r="L71" s="35">
        <f>COUNTIF($E$93:$E$97,"&lt;=58")-K71</f>
        <v>0</v>
      </c>
      <c r="M71" s="31">
        <f>COUNTIF($E$93:$E$97,"&lt;=62")-L71-K71</f>
        <v>1</v>
      </c>
      <c r="N71" s="36">
        <f>COUNTIF($E$93:$E$97,"&lt;=67")-M71-L71-K71</f>
        <v>0</v>
      </c>
      <c r="O71" s="6">
        <f>COUNTIF($E$93:$E$97,"&lt;=71")-N71-M71-L71-K71</f>
        <v>2</v>
      </c>
      <c r="P71" s="7">
        <f>COUNTIF($E$93:$E$97,"&lt;=75")-O71-N71-M71-L71-K71</f>
        <v>0</v>
      </c>
      <c r="Q71" s="37">
        <f>COUNTIF($E$93:$E$97,"&lt;=79")-P71-O71-N71-M71-L71-K71</f>
        <v>1</v>
      </c>
      <c r="R71" s="38">
        <f>COUNTIF($E$93:$E$97,"&lt;=84")-Q71-P71-O71-N71-M71-L71-K71</f>
        <v>1</v>
      </c>
      <c r="S71" s="1">
        <f t="shared" si="29"/>
        <v>5</v>
      </c>
      <c r="T71" s="19">
        <f t="shared" si="30"/>
        <v>5</v>
      </c>
      <c r="U71" s="1">
        <f t="shared" si="31"/>
        <v>6</v>
      </c>
    </row>
    <row r="72" spans="1:21" x14ac:dyDescent="0.2">
      <c r="A72" s="1">
        <v>4</v>
      </c>
      <c r="B72" s="1">
        <v>165</v>
      </c>
      <c r="C72" s="1">
        <v>63</v>
      </c>
      <c r="D72" s="31">
        <v>172</v>
      </c>
      <c r="E72" s="2">
        <v>69</v>
      </c>
      <c r="G72" s="9">
        <f t="shared" si="28"/>
        <v>7</v>
      </c>
      <c r="H72" s="12">
        <f t="shared" si="28"/>
        <v>179.75</v>
      </c>
      <c r="I72" s="12">
        <f t="shared" si="28"/>
        <v>183.375</v>
      </c>
      <c r="J72" s="33"/>
      <c r="K72" s="34">
        <f>COUNTIF($E$98:$E$100,"&lt;=54")</f>
        <v>0</v>
      </c>
      <c r="L72" s="35">
        <f>COUNTIF($E$98:$E$100,"&lt;=58")-K72</f>
        <v>0</v>
      </c>
      <c r="M72" s="31">
        <f>COUNTIF($E$98:$E$100,"&lt;=62")-L72-K72</f>
        <v>0</v>
      </c>
      <c r="N72" s="36">
        <f>COUNTIF($E$98:$E$100,"&lt;=67")-M72-L72-K72</f>
        <v>1</v>
      </c>
      <c r="O72" s="6">
        <f>COUNTIF($E$98:$E$100,"&lt;=71")-N72-M72-L72-K72</f>
        <v>2</v>
      </c>
      <c r="P72" s="7">
        <f>COUNTIF($E$98:$E$100,"&lt;=75")-O72-N72-M72-L72-K72</f>
        <v>0</v>
      </c>
      <c r="Q72" s="37">
        <f>COUNTIF($E$98:$E$100,"&lt;=79")-P72-O72-N72-M72-L72-K72</f>
        <v>0</v>
      </c>
      <c r="R72" s="38">
        <f>COUNTIF($E$98:$E$100,"&lt;=84")-Q72-P72-O72-N72-M72-L72-K72</f>
        <v>0</v>
      </c>
      <c r="S72" s="1">
        <f t="shared" si="29"/>
        <v>3</v>
      </c>
      <c r="T72" s="19">
        <f t="shared" si="30"/>
        <v>3</v>
      </c>
      <c r="U72" s="1">
        <f t="shared" si="31"/>
        <v>7</v>
      </c>
    </row>
    <row r="73" spans="1:21" x14ac:dyDescent="0.2">
      <c r="A73" s="1">
        <v>5</v>
      </c>
      <c r="B73" s="1">
        <v>169</v>
      </c>
      <c r="C73" s="1">
        <v>75</v>
      </c>
      <c r="D73" s="31">
        <v>172</v>
      </c>
      <c r="E73" s="2">
        <v>74</v>
      </c>
      <c r="G73" s="9">
        <f t="shared" si="28"/>
        <v>8</v>
      </c>
      <c r="H73" s="12">
        <f t="shared" si="28"/>
        <v>183.375</v>
      </c>
      <c r="I73" s="12">
        <f t="shared" si="28"/>
        <v>187</v>
      </c>
      <c r="J73" s="33"/>
      <c r="K73" s="34">
        <v>0</v>
      </c>
      <c r="L73" s="35">
        <v>0</v>
      </c>
      <c r="M73" s="31">
        <v>0</v>
      </c>
      <c r="N73" s="36">
        <v>0</v>
      </c>
      <c r="O73" s="6">
        <v>0</v>
      </c>
      <c r="P73" s="7">
        <v>0</v>
      </c>
      <c r="Q73" s="37">
        <v>0</v>
      </c>
      <c r="R73" s="38">
        <f>COUNTIF(E101,"&lt;=84")-Q73-P73-O73-N73-M73-L73-K73</f>
        <v>1</v>
      </c>
      <c r="S73" s="1">
        <f t="shared" si="29"/>
        <v>1</v>
      </c>
      <c r="T73" s="19">
        <f t="shared" si="30"/>
        <v>1</v>
      </c>
      <c r="U73" s="1">
        <f t="shared" si="31"/>
        <v>8</v>
      </c>
    </row>
    <row r="74" spans="1:21" x14ac:dyDescent="0.2">
      <c r="A74" s="1">
        <v>6</v>
      </c>
      <c r="B74" s="1">
        <v>163</v>
      </c>
      <c r="C74" s="1">
        <v>63</v>
      </c>
      <c r="D74" s="31">
        <v>172</v>
      </c>
      <c r="E74" s="2">
        <v>69</v>
      </c>
      <c r="K74" s="1">
        <f t="shared" ref="K74:R74" si="32">SUM(K66:K73)</f>
        <v>8</v>
      </c>
      <c r="L74" s="1">
        <f t="shared" si="32"/>
        <v>11</v>
      </c>
      <c r="M74" s="1">
        <f t="shared" si="32"/>
        <v>20</v>
      </c>
      <c r="N74" s="1">
        <f t="shared" si="32"/>
        <v>25</v>
      </c>
      <c r="O74" s="1">
        <f t="shared" si="32"/>
        <v>19</v>
      </c>
      <c r="P74" s="1">
        <f t="shared" si="32"/>
        <v>12</v>
      </c>
      <c r="Q74" s="1">
        <f t="shared" si="32"/>
        <v>3</v>
      </c>
      <c r="R74" s="1">
        <f t="shared" si="32"/>
        <v>2</v>
      </c>
      <c r="S74" s="1">
        <f>SUM(K71:R71)</f>
        <v>5</v>
      </c>
      <c r="T74" s="1">
        <f>SUM(T66:T73)</f>
        <v>100</v>
      </c>
    </row>
    <row r="75" spans="1:21" x14ac:dyDescent="0.2">
      <c r="A75" s="1">
        <v>7</v>
      </c>
      <c r="B75" s="1">
        <v>175</v>
      </c>
      <c r="C75" s="1">
        <v>67</v>
      </c>
      <c r="D75" s="31">
        <v>172</v>
      </c>
      <c r="E75" s="2">
        <v>73</v>
      </c>
      <c r="K75" s="39">
        <f>COUNTIF($C$2:$C$101,"&lt;=54,36")</f>
        <v>8</v>
      </c>
      <c r="L75" s="39">
        <f>COUNTIF($C$2:$C$101,"&lt;=58,5")-COUNTIF($C$2:$C$101,"&lt;=54,25")</f>
        <v>11</v>
      </c>
      <c r="M75" s="39">
        <f>COUNTIF($C$2:$C$101,"&lt;=62,75")-COUNTIF($C$2:$C$101,"&lt;=58,5")</f>
        <v>20</v>
      </c>
      <c r="N75" s="39">
        <f>COUNTIF($C$2:$C$101,"&lt;=67")-COUNTIF($C$2:$C$101,"&lt;=62,75")</f>
        <v>25</v>
      </c>
      <c r="O75" s="39">
        <f>COUNTIF($C$2:$C$101,"&lt;=71,25")-COUNTIF($C$2:$C$101,"&lt;=67")</f>
        <v>19</v>
      </c>
      <c r="P75" s="39">
        <f>COUNTIF($C$2:$C$101,"&lt;=75,5")-COUNTIF($C$2:$C$101,"&lt;=71,25")</f>
        <v>12</v>
      </c>
      <c r="Q75" s="39">
        <f>COUNTIF($C$2:$C$101,"&lt;=79,75")-COUNTIF($C$2:$C$101,"&lt;=75,5")</f>
        <v>3</v>
      </c>
      <c r="R75" s="39">
        <f>COUNTIF($C$2:$C$101,"&lt;=84")-COUNTIF($C$2:$C$101,"&lt;=79,75")</f>
        <v>2</v>
      </c>
      <c r="S75" s="1">
        <f>SUM(K72:R72)</f>
        <v>3</v>
      </c>
    </row>
    <row r="76" spans="1:21" x14ac:dyDescent="0.2">
      <c r="A76" s="1">
        <v>8</v>
      </c>
      <c r="B76" s="1">
        <v>171</v>
      </c>
      <c r="C76" s="1">
        <v>60</v>
      </c>
      <c r="D76" s="31">
        <v>172</v>
      </c>
      <c r="E76" s="2">
        <v>69</v>
      </c>
      <c r="S76" s="1">
        <f>SUM(K73:R73)</f>
        <v>1</v>
      </c>
    </row>
    <row r="77" spans="1:21" x14ac:dyDescent="0.2">
      <c r="A77" s="1">
        <v>9</v>
      </c>
      <c r="B77" s="1">
        <v>167</v>
      </c>
      <c r="C77" s="1">
        <v>53</v>
      </c>
      <c r="D77" s="34">
        <v>173</v>
      </c>
      <c r="E77" s="2">
        <v>70</v>
      </c>
      <c r="F77" s="1" t="s">
        <v>82</v>
      </c>
      <c r="J77" s="40"/>
      <c r="K77" s="41">
        <f t="shared" ref="K77:R77" si="33">(J65+K65)/2</f>
        <v>52.125</v>
      </c>
      <c r="L77" s="41">
        <f t="shared" si="33"/>
        <v>56.375</v>
      </c>
      <c r="M77" s="41">
        <f t="shared" si="33"/>
        <v>60.625</v>
      </c>
      <c r="N77" s="41">
        <f t="shared" si="33"/>
        <v>64.875</v>
      </c>
      <c r="O77" s="41">
        <f t="shared" si="33"/>
        <v>69.125</v>
      </c>
      <c r="P77" s="41">
        <f t="shared" si="33"/>
        <v>73.375</v>
      </c>
      <c r="Q77" s="41">
        <f t="shared" si="33"/>
        <v>77.625</v>
      </c>
      <c r="R77" s="41">
        <f t="shared" si="33"/>
        <v>81.875</v>
      </c>
      <c r="T77" s="1">
        <f>SUM(K74:R74)</f>
        <v>100</v>
      </c>
    </row>
    <row r="78" spans="1:21" x14ac:dyDescent="0.2">
      <c r="A78" s="1">
        <v>10</v>
      </c>
      <c r="B78" s="1">
        <v>164</v>
      </c>
      <c r="C78" s="1">
        <v>57</v>
      </c>
      <c r="D78" s="34">
        <v>173</v>
      </c>
      <c r="E78" s="2">
        <v>75</v>
      </c>
      <c r="I78" s="1">
        <v>1</v>
      </c>
      <c r="J78" s="42">
        <f t="shared" ref="J78:J85" si="34">(H66+I66)/2</f>
        <v>159.8125</v>
      </c>
      <c r="K78" s="1">
        <f t="shared" ref="K78:R85" si="35">K66/$T$78</f>
        <v>0.03</v>
      </c>
      <c r="L78" s="1">
        <f t="shared" si="35"/>
        <v>0.02</v>
      </c>
      <c r="M78" s="1">
        <f t="shared" si="35"/>
        <v>0.02</v>
      </c>
      <c r="N78" s="1">
        <f t="shared" si="35"/>
        <v>0.01</v>
      </c>
      <c r="O78" s="1">
        <f t="shared" si="35"/>
        <v>0.01</v>
      </c>
      <c r="P78" s="1">
        <f t="shared" si="35"/>
        <v>0</v>
      </c>
      <c r="Q78" s="1">
        <f t="shared" si="35"/>
        <v>0</v>
      </c>
      <c r="R78" s="1">
        <f t="shared" si="35"/>
        <v>0</v>
      </c>
      <c r="S78" s="2">
        <f t="shared" ref="S78:S85" si="36">SUM(K78:R78)</f>
        <v>0.09</v>
      </c>
      <c r="T78" s="1">
        <f>SUM(K75:R75)</f>
        <v>100</v>
      </c>
    </row>
    <row r="79" spans="1:21" x14ac:dyDescent="0.2">
      <c r="A79" s="1">
        <v>11</v>
      </c>
      <c r="B79" s="1">
        <v>158</v>
      </c>
      <c r="C79" s="1">
        <v>60</v>
      </c>
      <c r="D79" s="34">
        <v>173</v>
      </c>
      <c r="E79" s="2">
        <v>69</v>
      </c>
      <c r="I79" s="1">
        <v>2</v>
      </c>
      <c r="J79" s="42">
        <f t="shared" si="34"/>
        <v>163.4375</v>
      </c>
      <c r="K79" s="1">
        <f t="shared" si="35"/>
        <v>0.02</v>
      </c>
      <c r="L79" s="1">
        <f t="shared" si="35"/>
        <v>0.03</v>
      </c>
      <c r="M79" s="1">
        <f t="shared" si="35"/>
        <v>0.09</v>
      </c>
      <c r="N79" s="1">
        <f t="shared" si="35"/>
        <v>0.05</v>
      </c>
      <c r="O79" s="1">
        <f t="shared" si="35"/>
        <v>0.02</v>
      </c>
      <c r="P79" s="1">
        <f t="shared" si="35"/>
        <v>0.01</v>
      </c>
      <c r="Q79" s="1">
        <f t="shared" si="35"/>
        <v>0</v>
      </c>
      <c r="R79" s="1">
        <f t="shared" si="35"/>
        <v>0</v>
      </c>
      <c r="S79" s="2">
        <f t="shared" si="36"/>
        <v>0.22</v>
      </c>
    </row>
    <row r="80" spans="1:21" x14ac:dyDescent="0.2">
      <c r="A80" s="1">
        <v>12</v>
      </c>
      <c r="B80" s="1">
        <v>174</v>
      </c>
      <c r="C80" s="1">
        <v>66</v>
      </c>
      <c r="D80" s="34">
        <v>173</v>
      </c>
      <c r="E80" s="2">
        <v>74</v>
      </c>
      <c r="I80" s="1">
        <v>3</v>
      </c>
      <c r="J80" s="42">
        <f t="shared" si="34"/>
        <v>167.0625</v>
      </c>
      <c r="K80" s="1">
        <f t="shared" si="35"/>
        <v>0.03</v>
      </c>
      <c r="L80" s="1">
        <f t="shared" si="35"/>
        <v>0.05</v>
      </c>
      <c r="M80" s="1">
        <f t="shared" si="35"/>
        <v>0.03</v>
      </c>
      <c r="N80" s="1">
        <f t="shared" si="35"/>
        <v>0.08</v>
      </c>
      <c r="O80" s="1">
        <f t="shared" si="35"/>
        <v>0.01</v>
      </c>
      <c r="P80" s="1">
        <f t="shared" si="35"/>
        <v>0</v>
      </c>
      <c r="Q80" s="1">
        <f t="shared" si="35"/>
        <v>0</v>
      </c>
      <c r="R80" s="1">
        <f t="shared" si="35"/>
        <v>0</v>
      </c>
      <c r="S80" s="2">
        <f t="shared" si="36"/>
        <v>0.2</v>
      </c>
    </row>
    <row r="81" spans="1:20" x14ac:dyDescent="0.2">
      <c r="A81" s="1">
        <v>13</v>
      </c>
      <c r="B81" s="1">
        <v>171</v>
      </c>
      <c r="C81" s="1">
        <v>72</v>
      </c>
      <c r="D81" s="34">
        <v>173</v>
      </c>
      <c r="E81" s="2">
        <v>72</v>
      </c>
      <c r="I81" s="1">
        <v>4</v>
      </c>
      <c r="J81" s="42">
        <f t="shared" si="34"/>
        <v>170.6875</v>
      </c>
      <c r="K81" s="1">
        <f t="shared" si="35"/>
        <v>0</v>
      </c>
      <c r="L81" s="1">
        <f t="shared" si="35"/>
        <v>0.01</v>
      </c>
      <c r="M81" s="1">
        <f t="shared" si="35"/>
        <v>0.04</v>
      </c>
      <c r="N81" s="1">
        <f t="shared" si="35"/>
        <v>0.05</v>
      </c>
      <c r="O81" s="1">
        <f t="shared" si="35"/>
        <v>0.06</v>
      </c>
      <c r="P81" s="1">
        <f t="shared" si="35"/>
        <v>7.0000000000000007E-2</v>
      </c>
      <c r="Q81" s="1">
        <f t="shared" si="35"/>
        <v>0.01</v>
      </c>
      <c r="R81" s="1">
        <f t="shared" si="35"/>
        <v>0</v>
      </c>
      <c r="S81" s="2">
        <f t="shared" si="36"/>
        <v>0.24000000000000002</v>
      </c>
    </row>
    <row r="82" spans="1:20" x14ac:dyDescent="0.2">
      <c r="A82" s="1">
        <v>14</v>
      </c>
      <c r="B82" s="1">
        <v>179</v>
      </c>
      <c r="C82" s="1">
        <v>71</v>
      </c>
      <c r="D82" s="34">
        <v>173</v>
      </c>
      <c r="E82" s="2">
        <v>69</v>
      </c>
      <c r="I82" s="1">
        <v>5</v>
      </c>
      <c r="J82" s="42">
        <f t="shared" si="34"/>
        <v>174.3125</v>
      </c>
      <c r="K82" s="1">
        <f t="shared" si="35"/>
        <v>0</v>
      </c>
      <c r="L82" s="1">
        <f t="shared" si="35"/>
        <v>0</v>
      </c>
      <c r="M82" s="1">
        <f t="shared" si="35"/>
        <v>0.01</v>
      </c>
      <c r="N82" s="1">
        <f t="shared" si="35"/>
        <v>0.05</v>
      </c>
      <c r="O82" s="1">
        <f t="shared" si="35"/>
        <v>0.05</v>
      </c>
      <c r="P82" s="1">
        <f t="shared" si="35"/>
        <v>0.04</v>
      </c>
      <c r="Q82" s="1">
        <f t="shared" si="35"/>
        <v>0.01</v>
      </c>
      <c r="R82" s="1">
        <f t="shared" si="35"/>
        <v>0</v>
      </c>
      <c r="S82" s="2">
        <f t="shared" si="36"/>
        <v>0.16000000000000003</v>
      </c>
    </row>
    <row r="83" spans="1:20" x14ac:dyDescent="0.2">
      <c r="A83" s="1">
        <v>15</v>
      </c>
      <c r="B83" s="1">
        <v>167</v>
      </c>
      <c r="C83" s="1">
        <v>63</v>
      </c>
      <c r="D83" s="34">
        <v>173</v>
      </c>
      <c r="E83" s="2">
        <v>77</v>
      </c>
      <c r="I83" s="1">
        <v>6</v>
      </c>
      <c r="J83" s="42">
        <f t="shared" si="34"/>
        <v>177.9375</v>
      </c>
      <c r="K83" s="1">
        <f t="shared" si="35"/>
        <v>0</v>
      </c>
      <c r="L83" s="1">
        <f t="shared" si="35"/>
        <v>0</v>
      </c>
      <c r="M83" s="1">
        <f t="shared" si="35"/>
        <v>0.01</v>
      </c>
      <c r="N83" s="1">
        <f t="shared" si="35"/>
        <v>0</v>
      </c>
      <c r="O83" s="1">
        <f t="shared" si="35"/>
        <v>0.02</v>
      </c>
      <c r="P83" s="1">
        <f t="shared" si="35"/>
        <v>0</v>
      </c>
      <c r="Q83" s="1">
        <f t="shared" si="35"/>
        <v>0.01</v>
      </c>
      <c r="R83" s="1">
        <f t="shared" si="35"/>
        <v>0.01</v>
      </c>
      <c r="S83" s="2">
        <f t="shared" si="36"/>
        <v>0.05</v>
      </c>
    </row>
    <row r="84" spans="1:20" x14ac:dyDescent="0.2">
      <c r="A84" s="1">
        <v>16</v>
      </c>
      <c r="B84" s="1">
        <v>173</v>
      </c>
      <c r="C84" s="1">
        <v>69</v>
      </c>
      <c r="D84" s="34">
        <v>173</v>
      </c>
      <c r="E84" s="2">
        <v>66</v>
      </c>
      <c r="I84" s="1">
        <v>7</v>
      </c>
      <c r="J84" s="42">
        <f t="shared" si="34"/>
        <v>181.5625</v>
      </c>
      <c r="K84" s="1">
        <f t="shared" si="35"/>
        <v>0</v>
      </c>
      <c r="L84" s="1">
        <f t="shared" si="35"/>
        <v>0</v>
      </c>
      <c r="M84" s="1">
        <f t="shared" si="35"/>
        <v>0</v>
      </c>
      <c r="N84" s="1">
        <f t="shared" si="35"/>
        <v>0.01</v>
      </c>
      <c r="O84" s="1">
        <f t="shared" si="35"/>
        <v>0.02</v>
      </c>
      <c r="P84" s="1">
        <f t="shared" si="35"/>
        <v>0</v>
      </c>
      <c r="Q84" s="1">
        <f t="shared" si="35"/>
        <v>0</v>
      </c>
      <c r="R84" s="1">
        <f t="shared" si="35"/>
        <v>0</v>
      </c>
      <c r="S84" s="2">
        <f t="shared" si="36"/>
        <v>0.03</v>
      </c>
    </row>
    <row r="85" spans="1:20" x14ac:dyDescent="0.2">
      <c r="A85" s="1">
        <v>17</v>
      </c>
      <c r="B85" s="1">
        <v>167</v>
      </c>
      <c r="C85" s="1">
        <v>58</v>
      </c>
      <c r="D85" s="34">
        <v>173</v>
      </c>
      <c r="E85" s="2">
        <v>69</v>
      </c>
      <c r="I85" s="1">
        <v>8</v>
      </c>
      <c r="J85" s="42">
        <f t="shared" si="34"/>
        <v>185.1875</v>
      </c>
      <c r="K85" s="1">
        <f t="shared" si="35"/>
        <v>0</v>
      </c>
      <c r="L85" s="1">
        <f t="shared" si="35"/>
        <v>0</v>
      </c>
      <c r="M85" s="1">
        <f t="shared" si="35"/>
        <v>0</v>
      </c>
      <c r="N85" s="1">
        <f t="shared" si="35"/>
        <v>0</v>
      </c>
      <c r="O85" s="1">
        <f t="shared" si="35"/>
        <v>0</v>
      </c>
      <c r="P85" s="1">
        <f t="shared" si="35"/>
        <v>0</v>
      </c>
      <c r="Q85" s="1">
        <f t="shared" si="35"/>
        <v>0</v>
      </c>
      <c r="R85" s="1">
        <f t="shared" si="35"/>
        <v>0.01</v>
      </c>
      <c r="S85" s="2">
        <f t="shared" si="36"/>
        <v>0.01</v>
      </c>
    </row>
    <row r="86" spans="1:20" x14ac:dyDescent="0.2">
      <c r="A86" s="1">
        <v>18</v>
      </c>
      <c r="B86" s="1">
        <v>161</v>
      </c>
      <c r="C86" s="1">
        <v>52</v>
      </c>
      <c r="D86" s="34">
        <v>174</v>
      </c>
      <c r="E86" s="2">
        <v>67</v>
      </c>
      <c r="F86" s="1" t="s">
        <v>83</v>
      </c>
      <c r="J86" s="43"/>
      <c r="K86" s="44">
        <f t="shared" ref="K86:R86" si="37">SUM(K78:K85)</f>
        <v>0.08</v>
      </c>
      <c r="L86" s="45">
        <f t="shared" si="37"/>
        <v>0.11</v>
      </c>
      <c r="M86" s="45">
        <f t="shared" si="37"/>
        <v>0.20000000000000004</v>
      </c>
      <c r="N86" s="45">
        <f t="shared" si="37"/>
        <v>0.25</v>
      </c>
      <c r="O86" s="45">
        <f t="shared" si="37"/>
        <v>0.19</v>
      </c>
      <c r="P86" s="45">
        <f t="shared" si="37"/>
        <v>0.12</v>
      </c>
      <c r="Q86" s="45">
        <f t="shared" si="37"/>
        <v>0.03</v>
      </c>
      <c r="R86" s="45">
        <f t="shared" si="37"/>
        <v>0.02</v>
      </c>
    </row>
    <row r="87" spans="1:20" x14ac:dyDescent="0.2">
      <c r="A87" s="1">
        <v>19</v>
      </c>
      <c r="B87" s="1">
        <v>171</v>
      </c>
      <c r="C87" s="1">
        <v>60</v>
      </c>
      <c r="D87" s="34">
        <v>174</v>
      </c>
      <c r="E87" s="2">
        <v>74</v>
      </c>
    </row>
    <row r="88" spans="1:20" x14ac:dyDescent="0.2">
      <c r="A88" s="1">
        <v>20</v>
      </c>
      <c r="B88" s="1">
        <v>172</v>
      </c>
      <c r="C88" s="1">
        <v>74</v>
      </c>
      <c r="D88" s="34">
        <v>174</v>
      </c>
      <c r="E88" s="2">
        <v>66</v>
      </c>
      <c r="J88" s="1">
        <v>1</v>
      </c>
      <c r="K88" s="5">
        <f t="shared" ref="K88:R88" si="38">$J$78*K77*K78</f>
        <v>249.906796875</v>
      </c>
      <c r="L88" s="5">
        <f t="shared" si="38"/>
        <v>180.18859375</v>
      </c>
      <c r="M88" s="5">
        <f t="shared" si="38"/>
        <v>193.77265625000001</v>
      </c>
      <c r="N88" s="5">
        <f t="shared" si="38"/>
        <v>103.678359375</v>
      </c>
      <c r="O88" s="5">
        <f t="shared" si="38"/>
        <v>110.47039062500001</v>
      </c>
      <c r="P88" s="5">
        <f t="shared" si="38"/>
        <v>0</v>
      </c>
      <c r="Q88" s="5">
        <f t="shared" si="38"/>
        <v>0</v>
      </c>
      <c r="R88" s="5">
        <f t="shared" si="38"/>
        <v>0</v>
      </c>
      <c r="S88" s="12">
        <f t="shared" ref="S88:S96" si="39">SUM(K88:R88)</f>
        <v>838.01679687500007</v>
      </c>
    </row>
    <row r="89" spans="1:20" x14ac:dyDescent="0.2">
      <c r="A89" s="1">
        <v>21</v>
      </c>
      <c r="B89" s="1">
        <v>160</v>
      </c>
      <c r="C89" s="1">
        <v>50</v>
      </c>
      <c r="D89" s="34">
        <v>175</v>
      </c>
      <c r="E89" s="2">
        <v>59</v>
      </c>
      <c r="J89" s="1">
        <v>2</v>
      </c>
      <c r="K89" s="5">
        <f t="shared" ref="K89:R89" si="40">$J$79*K77*K79</f>
        <v>170.38359375000002</v>
      </c>
      <c r="L89" s="5">
        <f t="shared" si="40"/>
        <v>276.41367187499998</v>
      </c>
      <c r="M89" s="5">
        <f t="shared" si="40"/>
        <v>891.755859375</v>
      </c>
      <c r="N89" s="5">
        <f t="shared" si="40"/>
        <v>530.150390625</v>
      </c>
      <c r="O89" s="5">
        <f t="shared" si="40"/>
        <v>225.95234375000001</v>
      </c>
      <c r="P89" s="5">
        <f t="shared" si="40"/>
        <v>119.92226562500001</v>
      </c>
      <c r="Q89" s="5">
        <f t="shared" si="40"/>
        <v>0</v>
      </c>
      <c r="R89" s="5">
        <f t="shared" si="40"/>
        <v>0</v>
      </c>
      <c r="S89" s="12">
        <f t="shared" si="39"/>
        <v>2214.578125</v>
      </c>
    </row>
    <row r="90" spans="1:20" x14ac:dyDescent="0.2">
      <c r="A90" s="1">
        <v>22</v>
      </c>
      <c r="B90" s="1">
        <v>159</v>
      </c>
      <c r="C90" s="1">
        <v>68</v>
      </c>
      <c r="D90" s="34">
        <v>175</v>
      </c>
      <c r="E90" s="2">
        <v>67</v>
      </c>
      <c r="J90" s="1">
        <v>3</v>
      </c>
      <c r="K90" s="5">
        <f t="shared" ref="K90:R90" si="41">$J$80*K80*K77</f>
        <v>261.24398437499997</v>
      </c>
      <c r="L90" s="5">
        <f t="shared" si="41"/>
        <v>470.90742187500001</v>
      </c>
      <c r="M90" s="5">
        <f t="shared" si="41"/>
        <v>303.84492187500001</v>
      </c>
      <c r="N90" s="5">
        <f t="shared" si="41"/>
        <v>867.05437500000005</v>
      </c>
      <c r="O90" s="5">
        <f t="shared" si="41"/>
        <v>115.481953125</v>
      </c>
      <c r="P90" s="5">
        <f t="shared" si="41"/>
        <v>0</v>
      </c>
      <c r="Q90" s="5">
        <f t="shared" si="41"/>
        <v>0</v>
      </c>
      <c r="R90" s="5">
        <f t="shared" si="41"/>
        <v>0</v>
      </c>
      <c r="S90" s="12">
        <f t="shared" si="39"/>
        <v>2018.5326562499999</v>
      </c>
    </row>
    <row r="91" spans="1:20" x14ac:dyDescent="0.2">
      <c r="A91" s="1">
        <v>23</v>
      </c>
      <c r="B91" s="1">
        <v>163</v>
      </c>
      <c r="C91" s="1">
        <v>72</v>
      </c>
      <c r="D91" s="34">
        <v>176</v>
      </c>
      <c r="E91" s="2">
        <v>70</v>
      </c>
      <c r="J91" s="1">
        <v>4</v>
      </c>
      <c r="K91" s="5">
        <f t="shared" ref="K91:R91" si="42">$J$81*K81*K77</f>
        <v>0</v>
      </c>
      <c r="L91" s="5">
        <f t="shared" si="42"/>
        <v>96.22507812500001</v>
      </c>
      <c r="M91" s="5">
        <f t="shared" si="42"/>
        <v>413.91718750000001</v>
      </c>
      <c r="N91" s="5">
        <f t="shared" si="42"/>
        <v>553.66757812500009</v>
      </c>
      <c r="O91" s="5">
        <f t="shared" si="42"/>
        <v>707.9264062499999</v>
      </c>
      <c r="P91" s="5">
        <f t="shared" si="42"/>
        <v>876.69367187500006</v>
      </c>
      <c r="Q91" s="5">
        <f t="shared" si="42"/>
        <v>132.49617187500002</v>
      </c>
      <c r="R91" s="5">
        <f t="shared" si="42"/>
        <v>0</v>
      </c>
      <c r="S91" s="12">
        <f t="shared" si="39"/>
        <v>2780.9260937500003</v>
      </c>
    </row>
    <row r="92" spans="1:20" x14ac:dyDescent="0.2">
      <c r="A92" s="1">
        <v>24</v>
      </c>
      <c r="B92" s="1">
        <v>167</v>
      </c>
      <c r="C92" s="1">
        <v>63</v>
      </c>
      <c r="D92" s="34">
        <v>176</v>
      </c>
      <c r="E92" s="2">
        <v>65</v>
      </c>
      <c r="J92" s="1">
        <v>5</v>
      </c>
      <c r="K92" s="5">
        <f t="shared" ref="K92:R92" si="43">$J$82*K82*K77</f>
        <v>0</v>
      </c>
      <c r="L92" s="5">
        <f t="shared" si="43"/>
        <v>0</v>
      </c>
      <c r="M92" s="5">
        <f t="shared" si="43"/>
        <v>105.676953125</v>
      </c>
      <c r="N92" s="5">
        <f t="shared" si="43"/>
        <v>565.42617187500002</v>
      </c>
      <c r="O92" s="5">
        <f t="shared" si="43"/>
        <v>602.46757812500005</v>
      </c>
      <c r="P92" s="5">
        <f t="shared" si="43"/>
        <v>511.60718750000001</v>
      </c>
      <c r="Q92" s="5">
        <f t="shared" si="43"/>
        <v>135.31007812499999</v>
      </c>
      <c r="R92" s="5">
        <f t="shared" si="43"/>
        <v>0</v>
      </c>
      <c r="S92" s="12">
        <f t="shared" si="39"/>
        <v>1920.4879687499999</v>
      </c>
    </row>
    <row r="93" spans="1:20" x14ac:dyDescent="0.2">
      <c r="A93" s="1">
        <v>25</v>
      </c>
      <c r="B93" s="1">
        <v>172</v>
      </c>
      <c r="C93" s="1">
        <v>69</v>
      </c>
      <c r="D93" s="7">
        <v>178</v>
      </c>
      <c r="E93" s="2">
        <v>62</v>
      </c>
      <c r="F93" s="1" t="s">
        <v>84</v>
      </c>
      <c r="J93" s="1">
        <v>6</v>
      </c>
      <c r="K93" s="5">
        <f t="shared" ref="K93:R93" si="44">$J$83*K83*K77</f>
        <v>0</v>
      </c>
      <c r="L93" s="5">
        <f t="shared" si="44"/>
        <v>0</v>
      </c>
      <c r="M93" s="5">
        <f t="shared" si="44"/>
        <v>107.87460937499999</v>
      </c>
      <c r="N93" s="5">
        <f t="shared" si="44"/>
        <v>0</v>
      </c>
      <c r="O93" s="5">
        <f t="shared" si="44"/>
        <v>245.99859375</v>
      </c>
      <c r="P93" s="5">
        <f t="shared" si="44"/>
        <v>0</v>
      </c>
      <c r="Q93" s="5">
        <f t="shared" si="44"/>
        <v>138.12398437499999</v>
      </c>
      <c r="R93" s="5">
        <f t="shared" si="44"/>
        <v>145.68632812499999</v>
      </c>
      <c r="S93" s="12">
        <f t="shared" si="39"/>
        <v>637.68351562499993</v>
      </c>
    </row>
    <row r="94" spans="1:20" x14ac:dyDescent="0.2">
      <c r="A94" s="1">
        <v>26</v>
      </c>
      <c r="B94" s="1">
        <v>165</v>
      </c>
      <c r="C94" s="1">
        <v>64</v>
      </c>
      <c r="D94" s="7">
        <v>179</v>
      </c>
      <c r="E94" s="2">
        <v>77</v>
      </c>
      <c r="F94" s="1" t="s">
        <v>85</v>
      </c>
      <c r="J94" s="1">
        <v>7</v>
      </c>
      <c r="K94" s="5">
        <f t="shared" ref="K94:R94" si="45">$J$84*K84*K77</f>
        <v>0</v>
      </c>
      <c r="L94" s="5">
        <f t="shared" si="45"/>
        <v>0</v>
      </c>
      <c r="M94" s="5">
        <f t="shared" si="45"/>
        <v>0</v>
      </c>
      <c r="N94" s="5">
        <f t="shared" si="45"/>
        <v>117.78867187500001</v>
      </c>
      <c r="O94" s="5">
        <f t="shared" si="45"/>
        <v>251.01015624999999</v>
      </c>
      <c r="P94" s="5">
        <f t="shared" si="45"/>
        <v>0</v>
      </c>
      <c r="Q94" s="5">
        <f t="shared" si="45"/>
        <v>0</v>
      </c>
      <c r="R94" s="5">
        <f t="shared" si="45"/>
        <v>0</v>
      </c>
      <c r="S94" s="12">
        <f t="shared" si="39"/>
        <v>368.798828125</v>
      </c>
    </row>
    <row r="95" spans="1:20" x14ac:dyDescent="0.2">
      <c r="A95" s="1">
        <v>27</v>
      </c>
      <c r="B95" s="1">
        <v>172</v>
      </c>
      <c r="C95" s="1">
        <v>73</v>
      </c>
      <c r="D95" s="7">
        <v>179</v>
      </c>
      <c r="E95" s="2">
        <v>80</v>
      </c>
      <c r="J95" s="1">
        <v>8</v>
      </c>
      <c r="K95" s="5">
        <f t="shared" ref="K95:R95" si="46">$J$85*K85*K77</f>
        <v>0</v>
      </c>
      <c r="L95" s="5">
        <f t="shared" si="46"/>
        <v>0</v>
      </c>
      <c r="M95" s="5">
        <f t="shared" si="46"/>
        <v>0</v>
      </c>
      <c r="N95" s="5">
        <f t="shared" si="46"/>
        <v>0</v>
      </c>
      <c r="O95" s="5">
        <f t="shared" si="46"/>
        <v>0</v>
      </c>
      <c r="P95" s="5">
        <f t="shared" si="46"/>
        <v>0</v>
      </c>
      <c r="Q95" s="5">
        <f t="shared" si="46"/>
        <v>0</v>
      </c>
      <c r="R95" s="5">
        <f t="shared" si="46"/>
        <v>151.62226562499998</v>
      </c>
      <c r="S95" s="12">
        <f t="shared" si="39"/>
        <v>151.62226562499998</v>
      </c>
    </row>
    <row r="96" spans="1:20" x14ac:dyDescent="0.2">
      <c r="A96" s="1">
        <v>28</v>
      </c>
      <c r="B96" s="1">
        <v>162</v>
      </c>
      <c r="C96" s="1">
        <v>53</v>
      </c>
      <c r="D96" s="7">
        <v>179</v>
      </c>
      <c r="E96" s="2">
        <v>69</v>
      </c>
      <c r="K96" s="12">
        <f t="shared" ref="K96:R96" si="47">SUM(K88:K95)</f>
        <v>681.53437499999995</v>
      </c>
      <c r="L96" s="12">
        <f t="shared" si="47"/>
        <v>1023.7347656249999</v>
      </c>
      <c r="M96" s="12">
        <f t="shared" si="47"/>
        <v>2016.8421874999999</v>
      </c>
      <c r="N96" s="12">
        <f t="shared" si="47"/>
        <v>2737.7655468749999</v>
      </c>
      <c r="O96" s="12">
        <f t="shared" si="47"/>
        <v>2259.3074218750003</v>
      </c>
      <c r="P96" s="12">
        <f t="shared" si="47"/>
        <v>1508.223125</v>
      </c>
      <c r="Q96" s="12">
        <f t="shared" si="47"/>
        <v>405.93023437499994</v>
      </c>
      <c r="R96" s="12">
        <f t="shared" si="47"/>
        <v>297.30859375</v>
      </c>
      <c r="S96" s="12">
        <f t="shared" si="39"/>
        <v>10930.646250000002</v>
      </c>
      <c r="T96" s="1" t="s">
        <v>86</v>
      </c>
    </row>
    <row r="97" spans="1:20" x14ac:dyDescent="0.2">
      <c r="A97" s="1">
        <v>29</v>
      </c>
      <c r="B97" s="1">
        <v>180</v>
      </c>
      <c r="C97" s="1">
        <v>69</v>
      </c>
      <c r="D97" s="7">
        <v>179</v>
      </c>
      <c r="E97" s="2">
        <v>71</v>
      </c>
      <c r="F97" s="1" t="s">
        <v>87</v>
      </c>
      <c r="H97" s="1" t="s">
        <v>88</v>
      </c>
      <c r="K97" s="1" t="s">
        <v>89</v>
      </c>
      <c r="N97" s="1" t="s">
        <v>90</v>
      </c>
    </row>
    <row r="98" spans="1:20" x14ac:dyDescent="0.2">
      <c r="A98" s="1">
        <v>30</v>
      </c>
      <c r="B98" s="1">
        <v>172</v>
      </c>
      <c r="C98" s="1">
        <v>69</v>
      </c>
      <c r="D98" s="6">
        <v>180</v>
      </c>
      <c r="E98" s="2">
        <v>65</v>
      </c>
      <c r="F98" s="1" t="s">
        <v>91</v>
      </c>
      <c r="H98" s="1" t="s">
        <v>1</v>
      </c>
      <c r="I98" s="32">
        <f t="shared" ref="I98:P98" si="48">K77</f>
        <v>52.125</v>
      </c>
      <c r="J98" s="32">
        <f t="shared" si="48"/>
        <v>56.375</v>
      </c>
      <c r="K98" s="32">
        <f t="shared" si="48"/>
        <v>60.625</v>
      </c>
      <c r="L98" s="32">
        <f t="shared" si="48"/>
        <v>64.875</v>
      </c>
      <c r="M98" s="32">
        <f t="shared" si="48"/>
        <v>69.125</v>
      </c>
      <c r="N98" s="32">
        <f t="shared" si="48"/>
        <v>73.375</v>
      </c>
      <c r="O98" s="32">
        <f t="shared" si="48"/>
        <v>77.625</v>
      </c>
      <c r="P98" s="32">
        <f t="shared" si="48"/>
        <v>81.875</v>
      </c>
    </row>
    <row r="99" spans="1:20" x14ac:dyDescent="0.2">
      <c r="A99" s="1">
        <v>31</v>
      </c>
      <c r="B99" s="1">
        <v>171</v>
      </c>
      <c r="C99" s="1">
        <v>67</v>
      </c>
      <c r="D99" s="6">
        <v>180</v>
      </c>
      <c r="E99" s="2">
        <v>69</v>
      </c>
      <c r="F99" s="1" t="s">
        <v>92</v>
      </c>
      <c r="H99" s="1" t="s">
        <v>93</v>
      </c>
      <c r="I99" s="3">
        <f t="shared" ref="I99:P99" si="49">K86</f>
        <v>0.08</v>
      </c>
      <c r="J99" s="3">
        <f t="shared" si="49"/>
        <v>0.11</v>
      </c>
      <c r="K99" s="3">
        <f t="shared" si="49"/>
        <v>0.20000000000000004</v>
      </c>
      <c r="L99" s="3">
        <f t="shared" si="49"/>
        <v>0.25</v>
      </c>
      <c r="M99" s="3">
        <f t="shared" si="49"/>
        <v>0.19</v>
      </c>
      <c r="N99" s="3">
        <f t="shared" si="49"/>
        <v>0.12</v>
      </c>
      <c r="O99" s="3">
        <f t="shared" si="49"/>
        <v>0.03</v>
      </c>
      <c r="P99" s="3">
        <f t="shared" si="49"/>
        <v>0.02</v>
      </c>
    </row>
    <row r="100" spans="1:20" x14ac:dyDescent="0.2">
      <c r="A100" s="1">
        <v>32</v>
      </c>
      <c r="B100" s="1">
        <v>180</v>
      </c>
      <c r="C100" s="1">
        <v>69</v>
      </c>
      <c r="D100" s="6">
        <v>180</v>
      </c>
      <c r="E100" s="2">
        <v>69</v>
      </c>
      <c r="I100" s="32">
        <f t="shared" ref="I100:P100" si="50">I98*I99</f>
        <v>4.17</v>
      </c>
      <c r="J100" s="32">
        <f t="shared" si="50"/>
        <v>6.2012499999999999</v>
      </c>
      <c r="K100" s="32">
        <f t="shared" si="50"/>
        <v>12.125000000000002</v>
      </c>
      <c r="L100" s="32">
        <f t="shared" si="50"/>
        <v>16.21875</v>
      </c>
      <c r="M100" s="32">
        <f t="shared" si="50"/>
        <v>13.133750000000001</v>
      </c>
      <c r="N100" s="32">
        <f t="shared" si="50"/>
        <v>8.8049999999999997</v>
      </c>
      <c r="O100" s="32">
        <f t="shared" si="50"/>
        <v>2.3287499999999999</v>
      </c>
      <c r="P100" s="32">
        <f t="shared" si="50"/>
        <v>1.6375</v>
      </c>
      <c r="Q100" s="1">
        <f>SUM(I100:P100)</f>
        <v>64.62</v>
      </c>
      <c r="R100" s="1" t="s">
        <v>94</v>
      </c>
    </row>
    <row r="101" spans="1:20" x14ac:dyDescent="0.2">
      <c r="A101" s="1">
        <v>33</v>
      </c>
      <c r="B101" s="1">
        <v>166</v>
      </c>
      <c r="C101" s="1">
        <v>57</v>
      </c>
      <c r="D101" s="1">
        <v>187</v>
      </c>
      <c r="E101" s="2">
        <v>84</v>
      </c>
      <c r="F101" s="1" t="s">
        <v>95</v>
      </c>
      <c r="I101" s="32">
        <f t="shared" ref="I101:P101" si="51">I100*I98</f>
        <v>217.36124999999998</v>
      </c>
      <c r="J101" s="32">
        <f t="shared" si="51"/>
        <v>349.59546875000001</v>
      </c>
      <c r="K101" s="32">
        <f t="shared" si="51"/>
        <v>735.07812500000011</v>
      </c>
      <c r="L101" s="32">
        <f t="shared" si="51"/>
        <v>1052.19140625</v>
      </c>
      <c r="M101" s="32">
        <f t="shared" si="51"/>
        <v>907.8704687500001</v>
      </c>
      <c r="N101" s="32">
        <f t="shared" si="51"/>
        <v>646.06687499999998</v>
      </c>
      <c r="O101" s="32">
        <f t="shared" si="51"/>
        <v>180.76921874999999</v>
      </c>
      <c r="P101" s="32">
        <f t="shared" si="51"/>
        <v>134.0703125</v>
      </c>
      <c r="Q101" s="1">
        <f>SUM(I101:P101)</f>
        <v>4223.0031250000002</v>
      </c>
      <c r="R101" s="1" t="s">
        <v>96</v>
      </c>
    </row>
    <row r="102" spans="1:20" x14ac:dyDescent="0.2">
      <c r="H102" s="1" t="s">
        <v>97</v>
      </c>
      <c r="K102" s="1">
        <f>(S96-R108*Q100)/(R111*S102)</f>
        <v>0.58497609140418338</v>
      </c>
      <c r="M102" s="1" t="s">
        <v>98</v>
      </c>
      <c r="N102" s="1">
        <f>K102*S102/R111</f>
        <v>0.71465860695157124</v>
      </c>
      <c r="Q102" s="1">
        <f>-Q100*Q100+Q101</f>
        <v>47.258724999999686</v>
      </c>
      <c r="R102" s="1" t="s">
        <v>99</v>
      </c>
      <c r="S102" s="1">
        <f>Q102^0.5</f>
        <v>6.8744981635025324</v>
      </c>
      <c r="T102" s="1" t="s">
        <v>100</v>
      </c>
    </row>
    <row r="105" spans="1:20" x14ac:dyDescent="0.2">
      <c r="J105" s="1" t="s">
        <v>101</v>
      </c>
      <c r="M105" s="1" t="s">
        <v>102</v>
      </c>
    </row>
    <row r="106" spans="1:20" x14ac:dyDescent="0.2">
      <c r="I106" s="1" t="s">
        <v>103</v>
      </c>
      <c r="J106" s="42">
        <f>J78</f>
        <v>159.8125</v>
      </c>
      <c r="K106" s="42">
        <f>J79</f>
        <v>163.4375</v>
      </c>
      <c r="L106" s="42">
        <f>J80</f>
        <v>167.0625</v>
      </c>
      <c r="M106" s="42">
        <f>J81</f>
        <v>170.6875</v>
      </c>
      <c r="N106" s="42">
        <f>J82</f>
        <v>174.3125</v>
      </c>
      <c r="O106" s="42">
        <f>J83</f>
        <v>177.9375</v>
      </c>
      <c r="P106" s="42">
        <f>J84</f>
        <v>181.5625</v>
      </c>
      <c r="Q106" s="42">
        <f>J85</f>
        <v>185.1875</v>
      </c>
      <c r="R106" s="18"/>
    </row>
    <row r="107" spans="1:20" x14ac:dyDescent="0.2">
      <c r="I107" s="1" t="s">
        <v>93</v>
      </c>
      <c r="J107" s="5">
        <f>S78</f>
        <v>0.09</v>
      </c>
      <c r="K107" s="5">
        <f>S79</f>
        <v>0.22</v>
      </c>
      <c r="L107" s="5">
        <f>S80</f>
        <v>0.2</v>
      </c>
      <c r="M107" s="5">
        <f>S81</f>
        <v>0.24000000000000002</v>
      </c>
      <c r="N107" s="5">
        <f>S82</f>
        <v>0.16000000000000003</v>
      </c>
      <c r="O107" s="5">
        <f>S83</f>
        <v>0.05</v>
      </c>
      <c r="P107" s="5">
        <f>S84</f>
        <v>0.03</v>
      </c>
      <c r="Q107" s="5">
        <f>S85</f>
        <v>0.01</v>
      </c>
      <c r="R107" s="18"/>
    </row>
    <row r="108" spans="1:20" x14ac:dyDescent="0.2">
      <c r="J108" s="18">
        <f t="shared" ref="J108:Q108" si="52">J106*J107</f>
        <v>14.383125</v>
      </c>
      <c r="K108" s="18">
        <f t="shared" si="52"/>
        <v>35.956249999999997</v>
      </c>
      <c r="L108" s="18">
        <f t="shared" si="52"/>
        <v>33.412500000000001</v>
      </c>
      <c r="M108" s="18">
        <f t="shared" si="52"/>
        <v>40.965000000000003</v>
      </c>
      <c r="N108" s="18">
        <f t="shared" si="52"/>
        <v>27.890000000000004</v>
      </c>
      <c r="O108" s="18">
        <f t="shared" si="52"/>
        <v>8.8968749999999996</v>
      </c>
      <c r="P108" s="18">
        <f t="shared" si="52"/>
        <v>5.4468749999999995</v>
      </c>
      <c r="Q108" s="18">
        <f t="shared" si="52"/>
        <v>1.8518749999999999</v>
      </c>
      <c r="R108" s="5">
        <f>SUM(J108:Q108)</f>
        <v>168.80250000000001</v>
      </c>
      <c r="S108" s="1" t="s">
        <v>104</v>
      </c>
    </row>
    <row r="109" spans="1:20" ht="14.25" x14ac:dyDescent="0.2">
      <c r="J109" s="18">
        <f t="shared" ref="J109:Q109" si="53">J108*J106</f>
        <v>2298.6031640625001</v>
      </c>
      <c r="K109" s="18">
        <f t="shared" si="53"/>
        <v>5876.5996093749991</v>
      </c>
      <c r="L109" s="18">
        <f t="shared" si="53"/>
        <v>5581.9757812500002</v>
      </c>
      <c r="M109" s="18">
        <f t="shared" si="53"/>
        <v>6992.2134375000005</v>
      </c>
      <c r="N109" s="18">
        <f t="shared" si="53"/>
        <v>4861.5756250000004</v>
      </c>
      <c r="O109" s="18">
        <f t="shared" si="53"/>
        <v>1583.0876953125</v>
      </c>
      <c r="P109" s="18">
        <f t="shared" si="53"/>
        <v>988.94824218749989</v>
      </c>
      <c r="Q109" s="18">
        <f t="shared" si="53"/>
        <v>342.94410156250001</v>
      </c>
      <c r="R109" s="18">
        <f>SUM(J109:Q109)</f>
        <v>28525.947656250002</v>
      </c>
      <c r="S109" s="1" t="s">
        <v>105</v>
      </c>
    </row>
    <row r="110" spans="1:20" x14ac:dyDescent="0.2">
      <c r="J110" s="18"/>
      <c r="K110" s="18"/>
      <c r="L110" s="18"/>
      <c r="M110" s="18"/>
      <c r="N110" s="18"/>
      <c r="O110" s="18"/>
      <c r="P110" s="18"/>
      <c r="Q110" s="18"/>
      <c r="R110" s="18">
        <f>-R108*R108+R109</f>
        <v>31.663649999998597</v>
      </c>
      <c r="S110" s="1" t="s">
        <v>106</v>
      </c>
    </row>
    <row r="111" spans="1:20" x14ac:dyDescent="0.2">
      <c r="J111" s="18"/>
      <c r="K111" s="18"/>
      <c r="L111" s="18"/>
      <c r="M111" s="18"/>
      <c r="N111" s="18"/>
      <c r="O111" s="18"/>
      <c r="P111" s="18"/>
      <c r="Q111" s="18"/>
      <c r="R111" s="8">
        <f>R110^0.5</f>
        <v>5.6270462944602295</v>
      </c>
      <c r="S111" s="1" t="s">
        <v>107</v>
      </c>
    </row>
    <row r="118" spans="9:16" x14ac:dyDescent="0.2">
      <c r="J118" s="1" t="s">
        <v>108</v>
      </c>
      <c r="L118" s="2">
        <f>8/65</f>
        <v>0.12307692307692308</v>
      </c>
      <c r="M118" s="1">
        <f>1/13</f>
        <v>7.6923076923076927E-2</v>
      </c>
    </row>
    <row r="119" spans="9:16" x14ac:dyDescent="0.2">
      <c r="I119" s="1" t="s">
        <v>0</v>
      </c>
      <c r="J119" s="1">
        <v>0</v>
      </c>
      <c r="K119" s="1">
        <v>1</v>
      </c>
      <c r="L119" s="1">
        <v>2</v>
      </c>
      <c r="M119" s="1">
        <v>3</v>
      </c>
    </row>
    <row r="120" spans="9:16" x14ac:dyDescent="0.2">
      <c r="I120" s="1" t="s">
        <v>93</v>
      </c>
      <c r="J120" s="8">
        <f>COMBIN(7,0)*COMBIN(8,3)/COMBIN(15,3)</f>
        <v>0.12307692307692306</v>
      </c>
      <c r="K120" s="8">
        <f>COMBIN(7,1)*COMBIN(8,2)/COMBIN(15,3)</f>
        <v>0.43076923076923074</v>
      </c>
      <c r="L120" s="8">
        <f>COMBIN(7,2)*COMBIN(8,1)/COMBIN(15,3)</f>
        <v>0.3692307692307692</v>
      </c>
      <c r="M120" s="8">
        <f>COMBIN(7,3)*COMBIN(8,0)/COMBIN(15,3)</f>
        <v>7.6923076923076913E-2</v>
      </c>
      <c r="O120" s="1">
        <f>SUM(J120:N120)</f>
        <v>0.99999999999999978</v>
      </c>
    </row>
    <row r="121" spans="9:16" x14ac:dyDescent="0.2">
      <c r="J121" s="8">
        <f>J120*J119</f>
        <v>0</v>
      </c>
      <c r="K121" s="8">
        <f>K120*K119</f>
        <v>0.43076923076923074</v>
      </c>
      <c r="L121" s="8">
        <f>L120*L119</f>
        <v>0.73846153846153839</v>
      </c>
      <c r="M121" s="8">
        <f>M120*M119</f>
        <v>0.23076923076923073</v>
      </c>
      <c r="O121" s="1">
        <f>SUM(J121:N121)</f>
        <v>1.4</v>
      </c>
      <c r="P121" s="1" t="s">
        <v>109</v>
      </c>
    </row>
    <row r="122" spans="9:16" x14ac:dyDescent="0.2">
      <c r="J122" s="8">
        <f>J121*J119</f>
        <v>0</v>
      </c>
      <c r="K122" s="8">
        <f>K121*K119</f>
        <v>0.43076923076923074</v>
      </c>
      <c r="L122" s="8">
        <f>L121*L119</f>
        <v>1.4769230769230768</v>
      </c>
      <c r="M122" s="8">
        <f>M121*M119</f>
        <v>0.69230769230769218</v>
      </c>
      <c r="O122" s="1">
        <f>SUM(J122:N122)</f>
        <v>2.5999999999999996</v>
      </c>
      <c r="P122" s="1" t="s">
        <v>110</v>
      </c>
    </row>
    <row r="123" spans="9:16" x14ac:dyDescent="0.2">
      <c r="L123" s="2"/>
      <c r="O123" s="1">
        <f>O122-O121*O121</f>
        <v>0.6399999999999999</v>
      </c>
      <c r="P123" s="1" t="s">
        <v>111</v>
      </c>
    </row>
    <row r="124" spans="9:16" x14ac:dyDescent="0.2">
      <c r="J124" s="1">
        <f>J120*(J119-$O$121)^2</f>
        <v>0.24123076923076917</v>
      </c>
      <c r="K124" s="1">
        <f>K120*(K119-$O$121)^2</f>
        <v>6.8923076923076879E-2</v>
      </c>
      <c r="L124" s="1">
        <f>L120*(L119-$O$121)^2</f>
        <v>0.13292307692307695</v>
      </c>
      <c r="M124" s="1">
        <f>M120*(M119-$O$121)^2</f>
        <v>0.19692307692307692</v>
      </c>
      <c r="O124" s="1">
        <f>SUM(J124:N124)</f>
        <v>0.6399999999999999</v>
      </c>
    </row>
    <row r="125" spans="9:16" x14ac:dyDescent="0.2">
      <c r="I125" s="1" t="s">
        <v>112</v>
      </c>
      <c r="J125" s="8">
        <f>J120</f>
        <v>0.12307692307692306</v>
      </c>
      <c r="K125" s="8">
        <f>J125+K120</f>
        <v>0.55384615384615377</v>
      </c>
      <c r="L125" s="8">
        <f>K125+L120</f>
        <v>0.92307692307692291</v>
      </c>
      <c r="M125" s="8">
        <f>L125+M120</f>
        <v>0.99999999999999978</v>
      </c>
    </row>
  </sheetData>
  <printOptions gridLines="1"/>
  <pageMargins left="0.39374999999999999" right="0.39374999999999999" top="0" bottom="0.9840277777777779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zoomScale="95" zoomScaleNormal="95" workbookViewId="0">
      <selection activeCell="K21" sqref="K21"/>
    </sheetView>
  </sheetViews>
  <sheetFormatPr defaultColWidth="8.5703125" defaultRowHeight="12.75" x14ac:dyDescent="0.2"/>
  <sheetData>
    <row r="1" spans="1:2" x14ac:dyDescent="0.2">
      <c r="A1" s="46" t="s">
        <v>113</v>
      </c>
      <c r="B1" s="46" t="s">
        <v>114</v>
      </c>
    </row>
    <row r="2" spans="1:2" x14ac:dyDescent="0.2">
      <c r="A2" s="47">
        <v>153.25</v>
      </c>
      <c r="B2" s="48">
        <v>1</v>
      </c>
    </row>
    <row r="3" spans="1:2" x14ac:dyDescent="0.2">
      <c r="A3" s="47">
        <v>158.5</v>
      </c>
      <c r="B3" s="48">
        <v>4</v>
      </c>
    </row>
    <row r="4" spans="1:2" x14ac:dyDescent="0.2">
      <c r="A4" s="47">
        <v>163.75</v>
      </c>
      <c r="B4" s="48">
        <v>13</v>
      </c>
    </row>
    <row r="5" spans="1:2" x14ac:dyDescent="0.2">
      <c r="A5" s="47">
        <v>169</v>
      </c>
      <c r="B5" s="48">
        <v>36</v>
      </c>
    </row>
    <row r="6" spans="1:2" x14ac:dyDescent="0.2">
      <c r="A6" s="47">
        <v>174.25</v>
      </c>
      <c r="B6" s="48">
        <v>24</v>
      </c>
    </row>
    <row r="7" spans="1:2" x14ac:dyDescent="0.2">
      <c r="A7" s="47">
        <v>179.5</v>
      </c>
      <c r="B7" s="48">
        <v>15</v>
      </c>
    </row>
    <row r="8" spans="1:2" x14ac:dyDescent="0.2">
      <c r="A8" s="47">
        <v>184.75</v>
      </c>
      <c r="B8" s="48">
        <v>3</v>
      </c>
    </row>
    <row r="9" spans="1:2" x14ac:dyDescent="0.2">
      <c r="A9" s="47">
        <v>190</v>
      </c>
      <c r="B9" s="48">
        <v>4</v>
      </c>
    </row>
    <row r="10" spans="1:2" x14ac:dyDescent="0.2">
      <c r="A10" s="49" t="s">
        <v>115</v>
      </c>
      <c r="B10" s="49">
        <v>0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145"/>
  <sheetViews>
    <sheetView tabSelected="1" topLeftCell="A37" zoomScale="95" zoomScaleNormal="95" workbookViewId="0">
      <selection activeCell="N59" sqref="N59"/>
    </sheetView>
  </sheetViews>
  <sheetFormatPr defaultColWidth="8.5703125" defaultRowHeight="12.75" x14ac:dyDescent="0.2"/>
  <cols>
    <col min="1" max="2" width="6.85546875" style="19" customWidth="1"/>
    <col min="3" max="3" width="7" style="50" customWidth="1"/>
    <col min="4" max="4" width="7" style="51" customWidth="1"/>
    <col min="5" max="5" width="6.5703125" style="1" customWidth="1"/>
    <col min="6" max="6" width="6" style="1" customWidth="1"/>
    <col min="7" max="7" width="14.85546875" style="1" customWidth="1"/>
    <col min="8" max="8" width="7.28515625" style="1" customWidth="1"/>
    <col min="9" max="9" width="7.42578125" style="1" customWidth="1"/>
    <col min="10" max="10" width="8.85546875" style="1" customWidth="1"/>
    <col min="11" max="11" width="12.85546875" style="1" customWidth="1"/>
    <col min="12" max="12" width="10.28515625" style="1" customWidth="1"/>
    <col min="13" max="13" width="17.42578125" style="1" customWidth="1"/>
    <col min="14" max="14" width="13.140625" style="1" customWidth="1"/>
    <col min="15" max="15" width="9" style="1" customWidth="1"/>
    <col min="16" max="16" width="9.28515625" style="1" customWidth="1"/>
    <col min="17" max="17" width="23.7109375" style="1" customWidth="1"/>
    <col min="18" max="18" width="10.140625" style="1" customWidth="1"/>
    <col min="19" max="19" width="6.28515625" style="1" customWidth="1"/>
    <col min="20" max="26" width="9" style="1" customWidth="1"/>
    <col min="27" max="27" width="11.5703125" style="1" customWidth="1"/>
    <col min="28" max="29" width="10.42578125" style="1" customWidth="1"/>
    <col min="30" max="30" width="9" style="1" customWidth="1"/>
    <col min="31" max="32" width="13.28515625" style="1" customWidth="1"/>
    <col min="33" max="33" width="9" style="1" customWidth="1"/>
    <col min="34" max="34" width="11.42578125" style="1" customWidth="1"/>
    <col min="35" max="1024" width="9" style="1" customWidth="1"/>
  </cols>
  <sheetData>
    <row r="1" spans="1:16" x14ac:dyDescent="0.2">
      <c r="A1" s="14" t="s">
        <v>0</v>
      </c>
      <c r="B1" s="52" t="s">
        <v>1</v>
      </c>
      <c r="C1" s="53" t="s">
        <v>0</v>
      </c>
      <c r="D1" s="54" t="s">
        <v>1</v>
      </c>
      <c r="F1" s="1" t="s">
        <v>2</v>
      </c>
      <c r="G1" s="5">
        <f>MIN(A2:A101)</f>
        <v>156</v>
      </c>
      <c r="H1" s="1" t="s">
        <v>3</v>
      </c>
      <c r="I1" s="5">
        <f>MAX(A2:A101)</f>
        <v>180</v>
      </c>
      <c r="K1" s="6" t="s">
        <v>116</v>
      </c>
      <c r="L1" s="6"/>
      <c r="P1" s="1" t="s">
        <v>5</v>
      </c>
    </row>
    <row r="2" spans="1:16" x14ac:dyDescent="0.2">
      <c r="A2" s="55">
        <v>174</v>
      </c>
      <c r="B2" s="55">
        <v>70</v>
      </c>
      <c r="C2" s="56">
        <v>156</v>
      </c>
      <c r="D2" s="56">
        <v>54</v>
      </c>
      <c r="E2" s="1" t="s">
        <v>6</v>
      </c>
      <c r="F2" s="1" t="s">
        <v>7</v>
      </c>
      <c r="G2" s="5">
        <f>I1-G1</f>
        <v>24</v>
      </c>
      <c r="H2" s="1" t="s">
        <v>8</v>
      </c>
      <c r="P2" s="1" t="s">
        <v>9</v>
      </c>
    </row>
    <row r="3" spans="1:16" x14ac:dyDescent="0.2">
      <c r="A3" s="55">
        <v>166</v>
      </c>
      <c r="B3" s="55">
        <v>57</v>
      </c>
      <c r="C3" s="56">
        <v>156</v>
      </c>
      <c r="D3" s="56">
        <v>54</v>
      </c>
      <c r="F3" s="1" t="s">
        <v>10</v>
      </c>
      <c r="G3" s="1">
        <f>ROUND(1+3.32*LOG10(100),0)</f>
        <v>8</v>
      </c>
      <c r="P3" s="1" t="s">
        <v>11</v>
      </c>
    </row>
    <row r="4" spans="1:16" x14ac:dyDescent="0.2">
      <c r="A4" s="55">
        <v>161</v>
      </c>
      <c r="B4" s="55">
        <v>55</v>
      </c>
      <c r="C4" s="56">
        <v>156</v>
      </c>
      <c r="D4" s="56">
        <v>54</v>
      </c>
      <c r="F4" s="1" t="s">
        <v>12</v>
      </c>
      <c r="G4" s="8">
        <f>G2/G3</f>
        <v>3</v>
      </c>
      <c r="P4" s="1" t="s">
        <v>13</v>
      </c>
    </row>
    <row r="5" spans="1:16" x14ac:dyDescent="0.2">
      <c r="A5" s="55">
        <v>172</v>
      </c>
      <c r="B5" s="55">
        <v>60</v>
      </c>
      <c r="C5" s="56">
        <v>157</v>
      </c>
      <c r="D5" s="56">
        <v>60</v>
      </c>
      <c r="I5" s="1" t="s">
        <v>117</v>
      </c>
      <c r="J5" s="1" t="s">
        <v>118</v>
      </c>
      <c r="K5" s="1" t="s">
        <v>119</v>
      </c>
      <c r="L5" s="1" t="s">
        <v>120</v>
      </c>
      <c r="M5" s="1" t="s">
        <v>121</v>
      </c>
      <c r="N5" s="1" t="s">
        <v>14</v>
      </c>
      <c r="P5" s="1" t="s">
        <v>15</v>
      </c>
    </row>
    <row r="6" spans="1:16" x14ac:dyDescent="0.2">
      <c r="A6" s="55">
        <v>166</v>
      </c>
      <c r="B6" s="55">
        <v>57</v>
      </c>
      <c r="C6" s="57">
        <v>161</v>
      </c>
      <c r="D6" s="57">
        <v>55</v>
      </c>
      <c r="F6" s="9"/>
      <c r="G6" s="10" t="s">
        <v>16</v>
      </c>
      <c r="H6" s="10" t="s">
        <v>17</v>
      </c>
      <c r="I6" s="10" t="s">
        <v>18</v>
      </c>
      <c r="J6" s="10" t="s">
        <v>19</v>
      </c>
      <c r="K6" s="10" t="s">
        <v>20</v>
      </c>
      <c r="L6" s="11" t="s">
        <v>21</v>
      </c>
      <c r="M6" s="3" t="s">
        <v>22</v>
      </c>
      <c r="N6" s="11" t="s">
        <v>23</v>
      </c>
      <c r="P6" s="1" t="s">
        <v>24</v>
      </c>
    </row>
    <row r="7" spans="1:16" x14ac:dyDescent="0.2">
      <c r="A7" s="55">
        <v>169</v>
      </c>
      <c r="B7" s="55">
        <v>62</v>
      </c>
      <c r="C7" s="57">
        <v>161</v>
      </c>
      <c r="D7" s="57">
        <v>55</v>
      </c>
      <c r="F7" s="9">
        <v>1</v>
      </c>
      <c r="G7" s="12">
        <f>$G$1</f>
        <v>156</v>
      </c>
      <c r="H7" s="12">
        <f t="shared" ref="H7:H14" si="0">G7+$G$4</f>
        <v>159</v>
      </c>
      <c r="I7" s="14">
        <f>COUNTIFS(A$2:A$101, "&gt;=156", A$2:A$101, "&lt;159")</f>
        <v>4</v>
      </c>
      <c r="J7" s="14">
        <f>I7</f>
        <v>4</v>
      </c>
      <c r="K7" s="12">
        <f t="shared" ref="K7:K14" si="1">(G7+H7)/2</f>
        <v>157.5</v>
      </c>
      <c r="L7" s="3">
        <f t="shared" ref="L7:M14" si="2">I7/100</f>
        <v>0.04</v>
      </c>
      <c r="M7" s="3">
        <f t="shared" si="2"/>
        <v>0.04</v>
      </c>
      <c r="N7" s="13">
        <f t="shared" ref="N7:N14" si="3">L7/$G$4</f>
        <v>1.3333333333333334E-2</v>
      </c>
      <c r="P7" s="1" t="s">
        <v>25</v>
      </c>
    </row>
    <row r="8" spans="1:16" x14ac:dyDescent="0.2">
      <c r="A8" s="55">
        <v>168</v>
      </c>
      <c r="B8" s="55">
        <v>70</v>
      </c>
      <c r="C8" s="57">
        <v>161</v>
      </c>
      <c r="D8" s="57">
        <v>51</v>
      </c>
      <c r="F8" s="9">
        <v>2</v>
      </c>
      <c r="G8" s="12">
        <f t="shared" ref="G8:G14" si="4">H7</f>
        <v>159</v>
      </c>
      <c r="H8" s="12">
        <f t="shared" si="0"/>
        <v>162</v>
      </c>
      <c r="I8" s="14">
        <f>COUNTIFS(A$2:A$101, "&gt;159", A$2:A$101, "&lt;=162")</f>
        <v>6</v>
      </c>
      <c r="J8" s="14">
        <f t="shared" ref="J8:J14" si="5">I8+J7</f>
        <v>10</v>
      </c>
      <c r="K8" s="12">
        <f t="shared" si="1"/>
        <v>160.5</v>
      </c>
      <c r="L8" s="3">
        <f t="shared" si="2"/>
        <v>0.06</v>
      </c>
      <c r="M8" s="3">
        <f t="shared" si="2"/>
        <v>0.1</v>
      </c>
      <c r="N8" s="13">
        <f t="shared" si="3"/>
        <v>0.02</v>
      </c>
      <c r="P8" s="1" t="s">
        <v>26</v>
      </c>
    </row>
    <row r="9" spans="1:16" x14ac:dyDescent="0.2">
      <c r="A9" s="55">
        <v>167</v>
      </c>
      <c r="B9" s="55">
        <v>65</v>
      </c>
      <c r="C9" s="57">
        <v>162</v>
      </c>
      <c r="D9" s="57">
        <v>52</v>
      </c>
      <c r="F9" s="9">
        <v>3</v>
      </c>
      <c r="G9" s="12">
        <f t="shared" si="4"/>
        <v>162</v>
      </c>
      <c r="H9" s="12">
        <f t="shared" si="0"/>
        <v>165</v>
      </c>
      <c r="I9" s="14">
        <f>COUNTIFS(A$2:A$101, "&gt;162", A$2:A$101, "&lt;=165")</f>
        <v>14</v>
      </c>
      <c r="J9" s="14">
        <f t="shared" si="5"/>
        <v>24</v>
      </c>
      <c r="K9" s="12">
        <f t="shared" si="1"/>
        <v>163.5</v>
      </c>
      <c r="L9" s="3">
        <f t="shared" si="2"/>
        <v>0.14000000000000001</v>
      </c>
      <c r="M9" s="3">
        <f t="shared" si="2"/>
        <v>0.24</v>
      </c>
      <c r="N9" s="13">
        <f t="shared" si="3"/>
        <v>4.6666666666666669E-2</v>
      </c>
      <c r="P9" s="1" t="s">
        <v>27</v>
      </c>
    </row>
    <row r="10" spans="1:16" x14ac:dyDescent="0.2">
      <c r="A10" s="55">
        <v>178</v>
      </c>
      <c r="B10" s="55">
        <v>80</v>
      </c>
      <c r="C10" s="57">
        <v>162</v>
      </c>
      <c r="D10" s="57">
        <v>65</v>
      </c>
      <c r="F10" s="9">
        <v>4</v>
      </c>
      <c r="G10" s="12">
        <f t="shared" si="4"/>
        <v>165</v>
      </c>
      <c r="H10" s="12">
        <f t="shared" si="0"/>
        <v>168</v>
      </c>
      <c r="I10" s="14">
        <f>COUNTIFS(A$2:A$101, "&gt;165", A$2:A$101, "&lt;=168")</f>
        <v>24</v>
      </c>
      <c r="J10" s="14">
        <f t="shared" si="5"/>
        <v>48</v>
      </c>
      <c r="K10" s="12">
        <f t="shared" si="1"/>
        <v>166.5</v>
      </c>
      <c r="L10" s="3">
        <f t="shared" si="2"/>
        <v>0.24</v>
      </c>
      <c r="M10" s="3">
        <f t="shared" si="2"/>
        <v>0.48</v>
      </c>
      <c r="N10" s="13">
        <f t="shared" si="3"/>
        <v>0.08</v>
      </c>
      <c r="P10" s="1" t="s">
        <v>28</v>
      </c>
    </row>
    <row r="11" spans="1:16" x14ac:dyDescent="0.2">
      <c r="A11" s="55">
        <v>165</v>
      </c>
      <c r="B11" s="55">
        <v>68</v>
      </c>
      <c r="C11" s="57">
        <v>162</v>
      </c>
      <c r="D11" s="57">
        <v>56</v>
      </c>
      <c r="E11" s="1" t="s">
        <v>29</v>
      </c>
      <c r="F11" s="9">
        <v>5</v>
      </c>
      <c r="G11" s="12">
        <f t="shared" si="4"/>
        <v>168</v>
      </c>
      <c r="H11" s="12">
        <f t="shared" si="0"/>
        <v>171</v>
      </c>
      <c r="I11" s="14">
        <f>COUNTIFS(A$2:A$101, "&gt;168", A$2:A$101, "&lt;=171")</f>
        <v>19</v>
      </c>
      <c r="J11" s="14">
        <f t="shared" si="5"/>
        <v>67</v>
      </c>
      <c r="K11" s="12">
        <f t="shared" si="1"/>
        <v>169.5</v>
      </c>
      <c r="L11" s="3">
        <f t="shared" si="2"/>
        <v>0.19</v>
      </c>
      <c r="M11" s="3">
        <f t="shared" si="2"/>
        <v>0.67</v>
      </c>
      <c r="N11" s="13">
        <f t="shared" si="3"/>
        <v>6.3333333333333339E-2</v>
      </c>
      <c r="P11" s="1" t="s">
        <v>30</v>
      </c>
    </row>
    <row r="12" spans="1:16" x14ac:dyDescent="0.2">
      <c r="A12" s="55">
        <v>175</v>
      </c>
      <c r="B12" s="55">
        <v>64</v>
      </c>
      <c r="C12" s="58">
        <v>163</v>
      </c>
      <c r="D12" s="58">
        <v>67</v>
      </c>
      <c r="F12" s="9">
        <v>6</v>
      </c>
      <c r="G12" s="12">
        <f t="shared" si="4"/>
        <v>171</v>
      </c>
      <c r="H12" s="12">
        <f t="shared" si="0"/>
        <v>174</v>
      </c>
      <c r="I12" s="14">
        <f>COUNTIFS(A$2:A$101, "&gt;171", A$2:A$101, "&lt;=174")</f>
        <v>20</v>
      </c>
      <c r="J12" s="14">
        <f t="shared" si="5"/>
        <v>87</v>
      </c>
      <c r="K12" s="12">
        <f t="shared" si="1"/>
        <v>172.5</v>
      </c>
      <c r="L12" s="3">
        <f t="shared" si="2"/>
        <v>0.2</v>
      </c>
      <c r="M12" s="3">
        <f t="shared" si="2"/>
        <v>0.87</v>
      </c>
      <c r="N12" s="13">
        <f t="shared" si="3"/>
        <v>6.6666666666666666E-2</v>
      </c>
      <c r="P12" s="1" t="s">
        <v>31</v>
      </c>
    </row>
    <row r="13" spans="1:16" x14ac:dyDescent="0.2">
      <c r="A13" s="55">
        <v>165</v>
      </c>
      <c r="B13" s="55">
        <v>55</v>
      </c>
      <c r="C13" s="58">
        <v>163</v>
      </c>
      <c r="D13" s="58">
        <v>60</v>
      </c>
      <c r="F13" s="9">
        <v>7</v>
      </c>
      <c r="G13" s="12">
        <f t="shared" si="4"/>
        <v>174</v>
      </c>
      <c r="H13" s="12">
        <f t="shared" si="0"/>
        <v>177</v>
      </c>
      <c r="I13" s="14">
        <f>COUNTIFS(A$2:A$101, "&gt;174", A$2:A$101, "&lt;=177")</f>
        <v>8</v>
      </c>
      <c r="J13" s="14">
        <f t="shared" si="5"/>
        <v>95</v>
      </c>
      <c r="K13" s="12">
        <f t="shared" si="1"/>
        <v>175.5</v>
      </c>
      <c r="L13" s="3">
        <f t="shared" si="2"/>
        <v>0.08</v>
      </c>
      <c r="M13" s="3">
        <f t="shared" si="2"/>
        <v>0.95</v>
      </c>
      <c r="N13" s="13">
        <f t="shared" si="3"/>
        <v>2.6666666666666668E-2</v>
      </c>
    </row>
    <row r="14" spans="1:16" x14ac:dyDescent="0.2">
      <c r="A14" s="55">
        <v>172</v>
      </c>
      <c r="B14" s="55">
        <v>78</v>
      </c>
      <c r="C14" s="58">
        <v>163</v>
      </c>
      <c r="D14" s="58">
        <v>68</v>
      </c>
      <c r="F14" s="9">
        <v>8</v>
      </c>
      <c r="G14" s="12">
        <f t="shared" si="4"/>
        <v>177</v>
      </c>
      <c r="H14" s="12">
        <f t="shared" si="0"/>
        <v>180</v>
      </c>
      <c r="I14" s="14">
        <f>COUNTIFS(A$2:A$101, "&gt;177", A$2:A$101, "&lt;=180")</f>
        <v>5</v>
      </c>
      <c r="J14" s="14">
        <f t="shared" si="5"/>
        <v>100</v>
      </c>
      <c r="K14" s="12">
        <f t="shared" si="1"/>
        <v>178.5</v>
      </c>
      <c r="L14" s="3">
        <f t="shared" si="2"/>
        <v>0.05</v>
      </c>
      <c r="M14" s="3">
        <f t="shared" si="2"/>
        <v>1</v>
      </c>
      <c r="N14" s="13">
        <f t="shared" si="3"/>
        <v>1.6666666666666666E-2</v>
      </c>
    </row>
    <row r="15" spans="1:16" x14ac:dyDescent="0.2">
      <c r="A15" s="55">
        <v>173</v>
      </c>
      <c r="B15" s="55">
        <v>65</v>
      </c>
      <c r="C15" s="58">
        <v>164</v>
      </c>
      <c r="D15" s="58">
        <v>68</v>
      </c>
      <c r="F15" s="9"/>
      <c r="G15" s="12"/>
      <c r="H15" s="12"/>
      <c r="I15" s="3">
        <f>SUM(I7:I14)</f>
        <v>100</v>
      </c>
      <c r="J15" s="10" t="s">
        <v>32</v>
      </c>
      <c r="K15" s="10" t="s">
        <v>32</v>
      </c>
      <c r="L15" s="3">
        <f>SUM(L7:L14)</f>
        <v>0.99999999999999989</v>
      </c>
      <c r="M15" s="3"/>
      <c r="N15" s="3"/>
    </row>
    <row r="16" spans="1:16" x14ac:dyDescent="0.2">
      <c r="A16" s="55">
        <v>167</v>
      </c>
      <c r="B16" s="55">
        <v>63</v>
      </c>
      <c r="C16" s="58">
        <v>164</v>
      </c>
      <c r="D16" s="58">
        <v>60</v>
      </c>
    </row>
    <row r="17" spans="1:14" x14ac:dyDescent="0.2">
      <c r="A17" s="55">
        <v>163</v>
      </c>
      <c r="B17" s="55">
        <v>67</v>
      </c>
      <c r="C17" s="58">
        <v>164</v>
      </c>
      <c r="D17" s="58">
        <v>62</v>
      </c>
      <c r="F17" s="1" t="s">
        <v>33</v>
      </c>
      <c r="G17" s="5">
        <f>$J$27</f>
        <v>168.45000000000002</v>
      </c>
      <c r="H17" s="5"/>
    </row>
    <row r="18" spans="1:14" ht="17.25" customHeight="1" x14ac:dyDescent="0.25">
      <c r="A18" s="55">
        <v>173</v>
      </c>
      <c r="B18" s="55">
        <v>71</v>
      </c>
      <c r="C18" s="58">
        <v>164</v>
      </c>
      <c r="D18" s="58">
        <v>57</v>
      </c>
      <c r="G18" s="10" t="s">
        <v>20</v>
      </c>
      <c r="H18" s="11" t="s">
        <v>34</v>
      </c>
      <c r="I18" s="16" t="s">
        <v>35</v>
      </c>
      <c r="J18" s="10" t="s">
        <v>36</v>
      </c>
      <c r="K18" s="17" t="s">
        <v>37</v>
      </c>
      <c r="L18" s="17" t="s">
        <v>38</v>
      </c>
      <c r="M18" s="17" t="s">
        <v>39</v>
      </c>
      <c r="N18" s="17" t="s">
        <v>40</v>
      </c>
    </row>
    <row r="19" spans="1:14" x14ac:dyDescent="0.2">
      <c r="A19" s="55">
        <v>164</v>
      </c>
      <c r="B19" s="55">
        <v>68</v>
      </c>
      <c r="C19" s="58">
        <v>164</v>
      </c>
      <c r="D19" s="58">
        <v>60</v>
      </c>
      <c r="F19" s="9">
        <v>1</v>
      </c>
      <c r="G19" s="12">
        <f t="shared" ref="G19:H26" si="6">K7</f>
        <v>157.5</v>
      </c>
      <c r="H19" s="3">
        <f t="shared" si="6"/>
        <v>0.04</v>
      </c>
      <c r="I19" s="5">
        <f t="shared" ref="I19:I26" si="7">G19-$J$27</f>
        <v>-10.950000000000017</v>
      </c>
      <c r="J19" s="5">
        <f t="shared" ref="J19:K26" si="8">G19*H19</f>
        <v>6.3</v>
      </c>
      <c r="K19" s="5">
        <f t="shared" si="8"/>
        <v>-0.43800000000000067</v>
      </c>
      <c r="L19" s="5">
        <f t="shared" ref="L19:L26" si="9">K19*I19</f>
        <v>4.7961000000000151</v>
      </c>
      <c r="M19" s="18">
        <f t="shared" ref="M19:M26" si="10">L19*I19</f>
        <v>-52.517295000000246</v>
      </c>
      <c r="N19" s="19">
        <f t="shared" ref="N19:N26" si="11">M19*I19</f>
        <v>575.06438025000364</v>
      </c>
    </row>
    <row r="20" spans="1:14" x14ac:dyDescent="0.2">
      <c r="A20" s="55">
        <v>170</v>
      </c>
      <c r="B20" s="55">
        <v>68</v>
      </c>
      <c r="C20" s="58">
        <v>164</v>
      </c>
      <c r="D20" s="58">
        <v>60</v>
      </c>
      <c r="F20" s="9">
        <v>2</v>
      </c>
      <c r="G20" s="12">
        <f t="shared" si="6"/>
        <v>160.5</v>
      </c>
      <c r="H20" s="3">
        <f t="shared" si="6"/>
        <v>0.06</v>
      </c>
      <c r="I20" s="5">
        <f t="shared" si="7"/>
        <v>-7.9500000000000171</v>
      </c>
      <c r="J20" s="5">
        <f t="shared" si="8"/>
        <v>9.629999999999999</v>
      </c>
      <c r="K20" s="5">
        <f t="shared" si="8"/>
        <v>-0.47700000000000098</v>
      </c>
      <c r="L20" s="5">
        <f t="shared" si="9"/>
        <v>3.7921500000000159</v>
      </c>
      <c r="M20" s="18">
        <f t="shared" si="10"/>
        <v>-30.14759250000019</v>
      </c>
      <c r="N20" s="19">
        <f t="shared" si="11"/>
        <v>239.67336037500203</v>
      </c>
    </row>
    <row r="21" spans="1:14" x14ac:dyDescent="0.2">
      <c r="A21" s="55">
        <v>164</v>
      </c>
      <c r="B21" s="55">
        <v>60</v>
      </c>
      <c r="C21" s="58">
        <v>164</v>
      </c>
      <c r="D21" s="58">
        <v>57</v>
      </c>
      <c r="F21" s="9">
        <v>3</v>
      </c>
      <c r="G21" s="12">
        <f t="shared" si="6"/>
        <v>163.5</v>
      </c>
      <c r="H21" s="3">
        <f t="shared" si="6"/>
        <v>0.14000000000000001</v>
      </c>
      <c r="I21" s="5">
        <f t="shared" si="7"/>
        <v>-4.9500000000000171</v>
      </c>
      <c r="J21" s="5">
        <f t="shared" si="8"/>
        <v>22.89</v>
      </c>
      <c r="K21" s="5">
        <f t="shared" si="8"/>
        <v>-0.6930000000000025</v>
      </c>
      <c r="L21" s="5">
        <f t="shared" si="9"/>
        <v>3.4303500000000242</v>
      </c>
      <c r="M21" s="18">
        <f t="shared" si="10"/>
        <v>-16.980232500000177</v>
      </c>
      <c r="N21" s="19">
        <f t="shared" si="11"/>
        <v>84.052150875001161</v>
      </c>
    </row>
    <row r="22" spans="1:14" x14ac:dyDescent="0.2">
      <c r="A22" s="55">
        <v>170</v>
      </c>
      <c r="B22" s="55">
        <v>63</v>
      </c>
      <c r="C22" s="58">
        <v>165</v>
      </c>
      <c r="D22" s="58">
        <v>68</v>
      </c>
      <c r="F22" s="9">
        <v>4</v>
      </c>
      <c r="G22" s="12">
        <f t="shared" si="6"/>
        <v>166.5</v>
      </c>
      <c r="H22" s="3">
        <f t="shared" si="6"/>
        <v>0.24</v>
      </c>
      <c r="I22" s="5">
        <f t="shared" si="7"/>
        <v>-1.9500000000000171</v>
      </c>
      <c r="J22" s="5">
        <f t="shared" si="8"/>
        <v>39.96</v>
      </c>
      <c r="K22" s="5">
        <f t="shared" si="8"/>
        <v>-0.46800000000000408</v>
      </c>
      <c r="L22" s="5">
        <f t="shared" si="9"/>
        <v>0.91260000000001595</v>
      </c>
      <c r="M22" s="18">
        <f t="shared" si="10"/>
        <v>-1.7795700000000467</v>
      </c>
      <c r="N22" s="19">
        <f t="shared" si="11"/>
        <v>3.4701615000001214</v>
      </c>
    </row>
    <row r="23" spans="1:14" x14ac:dyDescent="0.2">
      <c r="A23" s="55">
        <v>180</v>
      </c>
      <c r="B23" s="55">
        <v>73</v>
      </c>
      <c r="C23" s="58">
        <v>165</v>
      </c>
      <c r="D23" s="58">
        <v>55</v>
      </c>
      <c r="E23" s="1" t="s">
        <v>41</v>
      </c>
      <c r="F23" s="9">
        <v>5</v>
      </c>
      <c r="G23" s="12">
        <f t="shared" si="6"/>
        <v>169.5</v>
      </c>
      <c r="H23" s="3">
        <f t="shared" si="6"/>
        <v>0.19</v>
      </c>
      <c r="I23" s="5">
        <f t="shared" si="7"/>
        <v>1.0499999999999829</v>
      </c>
      <c r="J23" s="5">
        <f t="shared" si="8"/>
        <v>32.204999999999998</v>
      </c>
      <c r="K23" s="5">
        <f t="shared" si="8"/>
        <v>0.19949999999999676</v>
      </c>
      <c r="L23" s="5">
        <f t="shared" si="9"/>
        <v>0.20947499999999319</v>
      </c>
      <c r="M23" s="18">
        <f t="shared" si="10"/>
        <v>0.21994874999998928</v>
      </c>
      <c r="N23" s="19">
        <f t="shared" si="11"/>
        <v>0.230946187499985</v>
      </c>
    </row>
    <row r="24" spans="1:14" x14ac:dyDescent="0.2">
      <c r="A24" s="55">
        <v>176</v>
      </c>
      <c r="B24" s="55">
        <v>81</v>
      </c>
      <c r="C24" s="58">
        <v>165</v>
      </c>
      <c r="D24" s="58">
        <v>55</v>
      </c>
      <c r="F24" s="9">
        <v>6</v>
      </c>
      <c r="G24" s="12">
        <f t="shared" si="6"/>
        <v>172.5</v>
      </c>
      <c r="H24" s="3">
        <f t="shared" si="6"/>
        <v>0.2</v>
      </c>
      <c r="I24" s="5">
        <f t="shared" si="7"/>
        <v>4.0499999999999829</v>
      </c>
      <c r="J24" s="5">
        <f t="shared" si="8"/>
        <v>34.5</v>
      </c>
      <c r="K24" s="5">
        <f t="shared" si="8"/>
        <v>0.80999999999999661</v>
      </c>
      <c r="L24" s="5">
        <f t="shared" si="9"/>
        <v>3.2804999999999724</v>
      </c>
      <c r="M24" s="18">
        <f t="shared" si="10"/>
        <v>13.286024999999832</v>
      </c>
      <c r="N24" s="19">
        <f t="shared" si="11"/>
        <v>53.808401249999093</v>
      </c>
    </row>
    <row r="25" spans="1:14" x14ac:dyDescent="0.2">
      <c r="A25" s="55">
        <v>173</v>
      </c>
      <c r="B25" s="55">
        <v>74</v>
      </c>
      <c r="C25" s="58">
        <v>165</v>
      </c>
      <c r="D25" s="58">
        <v>55</v>
      </c>
      <c r="F25" s="9">
        <v>7</v>
      </c>
      <c r="G25" s="12">
        <f t="shared" si="6"/>
        <v>175.5</v>
      </c>
      <c r="H25" s="3">
        <f t="shared" si="6"/>
        <v>0.08</v>
      </c>
      <c r="I25" s="5">
        <f t="shared" si="7"/>
        <v>7.0499999999999829</v>
      </c>
      <c r="J25" s="5">
        <f t="shared" si="8"/>
        <v>14.040000000000001</v>
      </c>
      <c r="K25" s="5">
        <f t="shared" si="8"/>
        <v>0.56399999999999861</v>
      </c>
      <c r="L25" s="5">
        <f t="shared" si="9"/>
        <v>3.9761999999999804</v>
      </c>
      <c r="M25" s="18">
        <f t="shared" si="10"/>
        <v>28.032209999999793</v>
      </c>
      <c r="N25" s="19">
        <f t="shared" si="11"/>
        <v>197.62708049999807</v>
      </c>
    </row>
    <row r="26" spans="1:14" x14ac:dyDescent="0.2">
      <c r="A26" s="55">
        <v>168</v>
      </c>
      <c r="B26" s="55">
        <v>66</v>
      </c>
      <c r="C26" s="59">
        <v>166</v>
      </c>
      <c r="D26" s="59">
        <v>57</v>
      </c>
      <c r="F26" s="9">
        <v>8</v>
      </c>
      <c r="G26" s="12">
        <f t="shared" si="6"/>
        <v>178.5</v>
      </c>
      <c r="H26" s="3">
        <f t="shared" si="6"/>
        <v>0.05</v>
      </c>
      <c r="I26" s="5">
        <f t="shared" si="7"/>
        <v>10.049999999999983</v>
      </c>
      <c r="J26" s="5">
        <f t="shared" si="8"/>
        <v>8.9250000000000007</v>
      </c>
      <c r="K26" s="5">
        <f t="shared" si="8"/>
        <v>0.50249999999999917</v>
      </c>
      <c r="L26" s="5">
        <f t="shared" si="9"/>
        <v>5.0501249999999827</v>
      </c>
      <c r="M26" s="18">
        <f t="shared" si="10"/>
        <v>50.753756249999739</v>
      </c>
      <c r="N26" s="19">
        <f t="shared" si="11"/>
        <v>510.07525031249651</v>
      </c>
    </row>
    <row r="27" spans="1:14" x14ac:dyDescent="0.2">
      <c r="A27" s="55">
        <v>161</v>
      </c>
      <c r="B27" s="55">
        <v>55</v>
      </c>
      <c r="C27" s="59">
        <v>166</v>
      </c>
      <c r="D27" s="59">
        <v>57</v>
      </c>
      <c r="I27" s="1" t="s">
        <v>33</v>
      </c>
      <c r="J27" s="60">
        <f>SUM(J19:J26)</f>
        <v>168.45000000000002</v>
      </c>
      <c r="K27" s="20">
        <f>SUM(K19:K26)</f>
        <v>-1.6875389974302379E-14</v>
      </c>
      <c r="L27" s="61">
        <f>SUM(L19:L26)</f>
        <v>25.447499999999998</v>
      </c>
      <c r="M27" s="20">
        <f>SUM(M19:M26)</f>
        <v>-9.1327500000013089</v>
      </c>
      <c r="N27" s="21">
        <f>SUM(N19:N26)</f>
        <v>1664.0017312500006</v>
      </c>
    </row>
    <row r="28" spans="1:14" x14ac:dyDescent="0.2">
      <c r="A28" s="55">
        <v>164</v>
      </c>
      <c r="B28" s="55">
        <v>62</v>
      </c>
      <c r="C28" s="59">
        <v>166</v>
      </c>
      <c r="D28" s="59">
        <v>61</v>
      </c>
      <c r="F28" s="16" t="s">
        <v>42</v>
      </c>
      <c r="G28" s="62">
        <f>L27</f>
        <v>25.447499999999998</v>
      </c>
      <c r="H28" s="16" t="s">
        <v>43</v>
      </c>
      <c r="I28" s="5">
        <f>M27</f>
        <v>-9.1327500000013089</v>
      </c>
      <c r="J28" s="16" t="s">
        <v>44</v>
      </c>
      <c r="K28" s="19">
        <f>N27</f>
        <v>1664.0017312500006</v>
      </c>
      <c r="L28" s="1" t="s">
        <v>106</v>
      </c>
    </row>
    <row r="29" spans="1:14" x14ac:dyDescent="0.2">
      <c r="A29" s="55">
        <v>167</v>
      </c>
      <c r="B29" s="55">
        <v>61</v>
      </c>
      <c r="C29" s="59">
        <v>166</v>
      </c>
      <c r="D29" s="59">
        <v>55</v>
      </c>
      <c r="F29" s="1" t="s">
        <v>45</v>
      </c>
      <c r="G29" s="8">
        <f>G28</f>
        <v>25.447499999999998</v>
      </c>
      <c r="H29" s="1" t="s">
        <v>46</v>
      </c>
    </row>
    <row r="30" spans="1:14" x14ac:dyDescent="0.2">
      <c r="A30" s="55">
        <v>176</v>
      </c>
      <c r="B30" s="55">
        <v>77</v>
      </c>
      <c r="C30" s="59">
        <v>166</v>
      </c>
      <c r="D30" s="59">
        <v>55</v>
      </c>
      <c r="F30" s="1" t="s">
        <v>47</v>
      </c>
      <c r="G30" s="62">
        <f>SQRT(G29)</f>
        <v>5.0445515162400705</v>
      </c>
      <c r="H30" s="1" t="s">
        <v>48</v>
      </c>
      <c r="J30" s="8">
        <f>100/99*G29</f>
        <v>25.704545454545453</v>
      </c>
      <c r="K30" s="1" t="s">
        <v>49</v>
      </c>
      <c r="L30" s="8">
        <f>J30^0.5</f>
        <v>5.0699650348444667</v>
      </c>
    </row>
    <row r="31" spans="1:14" x14ac:dyDescent="0.2">
      <c r="A31" s="55">
        <v>165</v>
      </c>
      <c r="B31" s="55">
        <v>55</v>
      </c>
      <c r="C31" s="59">
        <v>166</v>
      </c>
      <c r="D31" s="59">
        <v>62</v>
      </c>
      <c r="F31" s="1" t="s">
        <v>50</v>
      </c>
      <c r="G31" s="8">
        <f>I28/(G30^3)</f>
        <v>-7.1143280128915715E-2</v>
      </c>
      <c r="J31" s="1" t="s">
        <v>51</v>
      </c>
      <c r="K31" s="1">
        <v>1.96</v>
      </c>
    </row>
    <row r="32" spans="1:14" x14ac:dyDescent="0.2">
      <c r="A32" s="55">
        <v>166</v>
      </c>
      <c r="B32" s="55">
        <v>61</v>
      </c>
      <c r="C32" s="59">
        <v>167</v>
      </c>
      <c r="D32" s="59">
        <v>65</v>
      </c>
      <c r="F32" s="1" t="s">
        <v>52</v>
      </c>
      <c r="G32" s="8">
        <f>K28/(G30^4)-3</f>
        <v>-0.43041180899042208</v>
      </c>
      <c r="I32" s="1" t="s">
        <v>14</v>
      </c>
      <c r="J32" s="1" t="s">
        <v>53</v>
      </c>
      <c r="K32" s="8">
        <f>L30*K31/10</f>
        <v>0.9937131468295155</v>
      </c>
      <c r="L32" s="8">
        <f>_xlfn.CONFIDENCE.NORM(0.05,5.655,100)</f>
        <v>1.1083596332574004</v>
      </c>
    </row>
    <row r="33" spans="1:16" x14ac:dyDescent="0.2">
      <c r="A33" s="55">
        <v>175</v>
      </c>
      <c r="B33" s="55">
        <v>66</v>
      </c>
      <c r="C33" s="59">
        <v>167</v>
      </c>
      <c r="D33" s="59">
        <v>63</v>
      </c>
      <c r="E33" s="1" t="s">
        <v>54</v>
      </c>
      <c r="H33" s="1" t="s">
        <v>55</v>
      </c>
      <c r="K33" s="5">
        <f>J27-K32</f>
        <v>167.4562868531705</v>
      </c>
      <c r="L33" s="1" t="s">
        <v>56</v>
      </c>
      <c r="M33" s="5">
        <f>G17+K32</f>
        <v>169.44371314682954</v>
      </c>
    </row>
    <row r="34" spans="1:16" x14ac:dyDescent="0.2">
      <c r="A34" s="55">
        <v>164</v>
      </c>
      <c r="B34" s="55">
        <v>57</v>
      </c>
      <c r="C34" s="59">
        <v>167</v>
      </c>
      <c r="D34" s="59">
        <v>61</v>
      </c>
      <c r="G34" s="1" t="s">
        <v>57</v>
      </c>
      <c r="I34" s="1">
        <v>0.14299999999999999</v>
      </c>
      <c r="J34" s="1" t="s">
        <v>58</v>
      </c>
    </row>
    <row r="35" spans="1:16" x14ac:dyDescent="0.2">
      <c r="A35" s="55">
        <v>171</v>
      </c>
      <c r="B35" s="55">
        <v>65</v>
      </c>
      <c r="C35" s="59">
        <v>167</v>
      </c>
      <c r="D35" s="59">
        <v>71</v>
      </c>
      <c r="I35" s="5">
        <f>L30*(1-0.143)</f>
        <v>4.3449600348617077</v>
      </c>
      <c r="J35" s="1" t="s">
        <v>59</v>
      </c>
      <c r="K35" s="5">
        <f>L30*(1+0.143)</f>
        <v>5.7949700348272257</v>
      </c>
    </row>
    <row r="36" spans="1:16" x14ac:dyDescent="0.2">
      <c r="A36" s="55">
        <v>174</v>
      </c>
      <c r="B36" s="55">
        <v>79</v>
      </c>
      <c r="C36" s="59">
        <v>167</v>
      </c>
      <c r="D36" s="59">
        <v>65</v>
      </c>
      <c r="F36" s="9"/>
      <c r="G36" s="10" t="s">
        <v>16</v>
      </c>
      <c r="H36" s="10" t="s">
        <v>17</v>
      </c>
      <c r="I36" s="3" t="s">
        <v>60</v>
      </c>
      <c r="J36" s="3" t="s">
        <v>61</v>
      </c>
      <c r="K36" s="3" t="s">
        <v>62</v>
      </c>
      <c r="L36" s="3" t="s">
        <v>63</v>
      </c>
      <c r="M36" s="3" t="s">
        <v>64</v>
      </c>
      <c r="N36" s="3" t="s">
        <v>65</v>
      </c>
      <c r="O36" s="23" t="s">
        <v>34</v>
      </c>
      <c r="P36" s="3" t="s">
        <v>63</v>
      </c>
    </row>
    <row r="37" spans="1:16" x14ac:dyDescent="0.2">
      <c r="A37" s="55">
        <v>167</v>
      </c>
      <c r="B37" s="55">
        <v>71</v>
      </c>
      <c r="C37" s="59">
        <v>167</v>
      </c>
      <c r="D37" s="59">
        <v>61</v>
      </c>
      <c r="F37" s="9">
        <v>1</v>
      </c>
      <c r="G37" s="12">
        <f>G7</f>
        <v>156</v>
      </c>
      <c r="H37" s="12">
        <f t="shared" ref="H37:H44" si="12">G37+$G$4</f>
        <v>159</v>
      </c>
      <c r="I37" s="63" t="s">
        <v>122</v>
      </c>
      <c r="J37" s="28">
        <f t="shared" ref="J37:J43" si="13">(H37-$J$27)/$G$30</f>
        <v>-1.8733082553676692</v>
      </c>
      <c r="K37" s="28">
        <v>-0.5</v>
      </c>
      <c r="L37" s="28">
        <f t="shared" ref="L37:L43" si="14">P37</f>
        <v>-0.46948708472000111</v>
      </c>
      <c r="M37" s="28">
        <f t="shared" ref="M37:M44" si="15">L37-K37</f>
        <v>3.0512915279998887E-2</v>
      </c>
      <c r="N37" s="28">
        <f t="shared" ref="N37:N44" si="16">100*M37</f>
        <v>3.0512915279998887</v>
      </c>
      <c r="O37" s="64">
        <f t="shared" ref="O37:O44" si="17">L7</f>
        <v>0.04</v>
      </c>
      <c r="P37" s="65">
        <f t="shared" ref="P37:P43" si="18">_xlfn.NORM.DIST(J37,0,1,1)-0.5</f>
        <v>-0.46948708472000111</v>
      </c>
    </row>
    <row r="38" spans="1:16" x14ac:dyDescent="0.2">
      <c r="A38" s="55">
        <v>169</v>
      </c>
      <c r="B38" s="55">
        <v>59</v>
      </c>
      <c r="C38" s="59">
        <v>167</v>
      </c>
      <c r="D38" s="59">
        <v>62</v>
      </c>
      <c r="F38" s="9">
        <v>2</v>
      </c>
      <c r="G38" s="12">
        <f t="shared" ref="G38:G44" si="19">H37</f>
        <v>159</v>
      </c>
      <c r="H38" s="12">
        <f t="shared" si="12"/>
        <v>162</v>
      </c>
      <c r="I38" s="12">
        <f t="shared" ref="I38:I44" si="20">(G38-$J$27)/$G$30</f>
        <v>-1.8733082553676692</v>
      </c>
      <c r="J38" s="28">
        <f t="shared" si="13"/>
        <v>-1.2786072219176166</v>
      </c>
      <c r="K38" s="28">
        <f t="shared" ref="K38:K44" si="21">L37</f>
        <v>-0.46948708472000111</v>
      </c>
      <c r="L38" s="28">
        <f t="shared" si="14"/>
        <v>-0.39948229723516793</v>
      </c>
      <c r="M38" s="28">
        <f t="shared" si="15"/>
        <v>7.0004787484833186E-2</v>
      </c>
      <c r="N38" s="28">
        <f t="shared" si="16"/>
        <v>7.0004787484833191</v>
      </c>
      <c r="O38" s="64">
        <f t="shared" si="17"/>
        <v>0.06</v>
      </c>
      <c r="P38" s="65">
        <f t="shared" si="18"/>
        <v>-0.39948229723516793</v>
      </c>
    </row>
    <row r="39" spans="1:16" x14ac:dyDescent="0.2">
      <c r="A39" s="55">
        <v>162</v>
      </c>
      <c r="B39" s="55">
        <v>52</v>
      </c>
      <c r="C39" s="59">
        <v>167</v>
      </c>
      <c r="D39" s="59">
        <v>63</v>
      </c>
      <c r="F39" s="9">
        <v>3</v>
      </c>
      <c r="G39" s="12">
        <f t="shared" si="19"/>
        <v>162</v>
      </c>
      <c r="H39" s="12">
        <f t="shared" si="12"/>
        <v>165</v>
      </c>
      <c r="I39" s="12">
        <f t="shared" si="20"/>
        <v>-1.2786072219176166</v>
      </c>
      <c r="J39" s="28">
        <f t="shared" si="13"/>
        <v>-0.6839061884675639</v>
      </c>
      <c r="K39" s="28">
        <f t="shared" si="21"/>
        <v>-0.39948229723516793</v>
      </c>
      <c r="L39" s="28">
        <f t="shared" si="14"/>
        <v>-0.25298279699748438</v>
      </c>
      <c r="M39" s="28">
        <f t="shared" si="15"/>
        <v>0.14649950023768354</v>
      </c>
      <c r="N39" s="28">
        <f t="shared" si="16"/>
        <v>14.649950023768355</v>
      </c>
      <c r="O39" s="64">
        <f t="shared" si="17"/>
        <v>0.14000000000000001</v>
      </c>
      <c r="P39" s="65">
        <f t="shared" si="18"/>
        <v>-0.25298279699748438</v>
      </c>
    </row>
    <row r="40" spans="1:16" x14ac:dyDescent="0.2">
      <c r="A40" s="55">
        <v>169</v>
      </c>
      <c r="B40" s="55">
        <v>68</v>
      </c>
      <c r="C40" s="59">
        <v>167</v>
      </c>
      <c r="D40" s="59">
        <v>65</v>
      </c>
      <c r="F40" s="9">
        <v>4</v>
      </c>
      <c r="G40" s="12">
        <f t="shared" si="19"/>
        <v>165</v>
      </c>
      <c r="H40" s="12">
        <f t="shared" si="12"/>
        <v>168</v>
      </c>
      <c r="I40" s="12">
        <f t="shared" si="20"/>
        <v>-0.6839061884675639</v>
      </c>
      <c r="J40" s="28">
        <f t="shared" si="13"/>
        <v>-8.9205155017511278E-2</v>
      </c>
      <c r="K40" s="28">
        <f t="shared" si="21"/>
        <v>-0.25298279699748438</v>
      </c>
      <c r="L40" s="28">
        <f t="shared" si="14"/>
        <v>-3.5540565699034521E-2</v>
      </c>
      <c r="M40" s="28">
        <f t="shared" si="15"/>
        <v>0.21744223129844986</v>
      </c>
      <c r="N40" s="28">
        <f t="shared" si="16"/>
        <v>21.744223129844986</v>
      </c>
      <c r="O40" s="64">
        <f t="shared" si="17"/>
        <v>0.24</v>
      </c>
      <c r="P40" s="65">
        <f t="shared" si="18"/>
        <v>-3.5540565699034521E-2</v>
      </c>
    </row>
    <row r="41" spans="1:16" x14ac:dyDescent="0.2">
      <c r="A41" s="55">
        <v>173</v>
      </c>
      <c r="B41" s="55">
        <v>66</v>
      </c>
      <c r="C41" s="59">
        <v>167</v>
      </c>
      <c r="D41" s="59">
        <v>52</v>
      </c>
      <c r="F41" s="9">
        <v>5</v>
      </c>
      <c r="G41" s="12">
        <f t="shared" si="19"/>
        <v>168</v>
      </c>
      <c r="H41" s="12">
        <f t="shared" si="12"/>
        <v>171</v>
      </c>
      <c r="I41" s="12">
        <f t="shared" si="20"/>
        <v>-8.9205155017511278E-2</v>
      </c>
      <c r="J41" s="28">
        <f t="shared" si="13"/>
        <v>0.5054958784325414</v>
      </c>
      <c r="K41" s="28">
        <f t="shared" si="21"/>
        <v>-3.5540565699034521E-2</v>
      </c>
      <c r="L41" s="28">
        <f t="shared" si="14"/>
        <v>0.19339470371812595</v>
      </c>
      <c r="M41" s="28">
        <f t="shared" si="15"/>
        <v>0.22893526941716047</v>
      </c>
      <c r="N41" s="28">
        <f t="shared" si="16"/>
        <v>22.893526941716047</v>
      </c>
      <c r="O41" s="64">
        <f t="shared" si="17"/>
        <v>0.19</v>
      </c>
      <c r="P41" s="65">
        <f t="shared" si="18"/>
        <v>0.19339470371812595</v>
      </c>
    </row>
    <row r="42" spans="1:16" x14ac:dyDescent="0.2">
      <c r="A42" s="55">
        <v>172</v>
      </c>
      <c r="B42" s="55">
        <v>66</v>
      </c>
      <c r="C42" s="59">
        <v>167</v>
      </c>
      <c r="D42" s="59">
        <v>57</v>
      </c>
      <c r="F42" s="9">
        <v>6</v>
      </c>
      <c r="G42" s="12">
        <f t="shared" si="19"/>
        <v>171</v>
      </c>
      <c r="H42" s="12">
        <f t="shared" si="12"/>
        <v>174</v>
      </c>
      <c r="I42" s="12">
        <f t="shared" si="20"/>
        <v>0.5054958784325414</v>
      </c>
      <c r="J42" s="28">
        <f t="shared" si="13"/>
        <v>1.1001969118825941</v>
      </c>
      <c r="K42" s="28">
        <f t="shared" si="21"/>
        <v>0.19339470371812595</v>
      </c>
      <c r="L42" s="28">
        <f t="shared" si="14"/>
        <v>0.36437683209009741</v>
      </c>
      <c r="M42" s="28">
        <f t="shared" si="15"/>
        <v>0.17098212837197146</v>
      </c>
      <c r="N42" s="28">
        <f t="shared" si="16"/>
        <v>17.098212837197146</v>
      </c>
      <c r="O42" s="64">
        <f t="shared" si="17"/>
        <v>0.2</v>
      </c>
      <c r="P42" s="65">
        <f t="shared" si="18"/>
        <v>0.36437683209009741</v>
      </c>
    </row>
    <row r="43" spans="1:16" x14ac:dyDescent="0.2">
      <c r="A43" s="55">
        <v>164</v>
      </c>
      <c r="B43" s="55">
        <v>60</v>
      </c>
      <c r="C43" s="59">
        <v>168</v>
      </c>
      <c r="D43" s="59">
        <v>70</v>
      </c>
      <c r="F43" s="9">
        <v>7</v>
      </c>
      <c r="G43" s="12">
        <f t="shared" si="19"/>
        <v>174</v>
      </c>
      <c r="H43" s="12">
        <f t="shared" si="12"/>
        <v>177</v>
      </c>
      <c r="I43" s="12">
        <f t="shared" si="20"/>
        <v>1.1001969118825941</v>
      </c>
      <c r="J43" s="28">
        <f t="shared" si="13"/>
        <v>1.6948979453326467</v>
      </c>
      <c r="K43" s="28">
        <f t="shared" si="21"/>
        <v>0.36437683209009741</v>
      </c>
      <c r="L43" s="28">
        <f t="shared" si="14"/>
        <v>0.45495260881342858</v>
      </c>
      <c r="M43" s="28">
        <f t="shared" si="15"/>
        <v>9.0575776723331169E-2</v>
      </c>
      <c r="N43" s="28">
        <f t="shared" si="16"/>
        <v>9.0575776723331174</v>
      </c>
      <c r="O43" s="64">
        <f t="shared" si="17"/>
        <v>0.08</v>
      </c>
      <c r="P43" s="65">
        <f t="shared" si="18"/>
        <v>0.45495260881342858</v>
      </c>
    </row>
    <row r="44" spans="1:16" x14ac:dyDescent="0.2">
      <c r="A44" s="55">
        <v>170</v>
      </c>
      <c r="B44" s="55">
        <v>63</v>
      </c>
      <c r="C44" s="59">
        <v>168</v>
      </c>
      <c r="D44" s="59">
        <v>66</v>
      </c>
      <c r="F44" s="9">
        <v>8</v>
      </c>
      <c r="G44" s="12">
        <f t="shared" si="19"/>
        <v>177</v>
      </c>
      <c r="H44" s="12">
        <f t="shared" si="12"/>
        <v>180</v>
      </c>
      <c r="I44" s="12">
        <f t="shared" si="20"/>
        <v>1.6948979453326467</v>
      </c>
      <c r="J44" s="66" t="s">
        <v>123</v>
      </c>
      <c r="K44" s="28">
        <f t="shared" si="21"/>
        <v>0.45495260881342858</v>
      </c>
      <c r="L44" s="28">
        <v>0.5</v>
      </c>
      <c r="M44" s="28">
        <f t="shared" si="15"/>
        <v>4.5047391186571417E-2</v>
      </c>
      <c r="N44" s="28">
        <f t="shared" si="16"/>
        <v>4.5047391186571417</v>
      </c>
      <c r="O44" s="64">
        <f t="shared" si="17"/>
        <v>0.05</v>
      </c>
      <c r="P44" s="65" t="s">
        <v>123</v>
      </c>
    </row>
    <row r="45" spans="1:16" x14ac:dyDescent="0.2">
      <c r="A45" s="55">
        <v>167</v>
      </c>
      <c r="B45" s="55">
        <v>65</v>
      </c>
      <c r="C45" s="59">
        <v>168</v>
      </c>
      <c r="D45" s="59">
        <v>64</v>
      </c>
      <c r="M45" s="24">
        <f>SUM(M37:M44)</f>
        <v>1</v>
      </c>
      <c r="N45" s="12">
        <f>SUM(N37:N44)</f>
        <v>100</v>
      </c>
    </row>
    <row r="46" spans="1:16" x14ac:dyDescent="0.2">
      <c r="A46" s="55">
        <v>166</v>
      </c>
      <c r="B46" s="55">
        <v>55</v>
      </c>
      <c r="C46" s="59">
        <v>168</v>
      </c>
      <c r="D46" s="59">
        <v>70</v>
      </c>
    </row>
    <row r="47" spans="1:16" ht="12.75" customHeight="1" x14ac:dyDescent="0.2">
      <c r="A47" s="55">
        <v>156</v>
      </c>
      <c r="B47" s="55">
        <v>54</v>
      </c>
      <c r="C47" s="59">
        <v>168</v>
      </c>
      <c r="D47" s="59">
        <v>65</v>
      </c>
      <c r="F47" s="3" t="s">
        <v>67</v>
      </c>
      <c r="G47" s="25" t="s">
        <v>16</v>
      </c>
      <c r="H47" s="10" t="s">
        <v>17</v>
      </c>
      <c r="I47" s="10" t="s">
        <v>18</v>
      </c>
      <c r="J47" s="26" t="s">
        <v>68</v>
      </c>
      <c r="K47" s="3" t="s">
        <v>65</v>
      </c>
      <c r="L47" s="27" t="s">
        <v>65</v>
      </c>
      <c r="M47" s="27" t="s">
        <v>69</v>
      </c>
      <c r="N47" s="3" t="s">
        <v>70</v>
      </c>
      <c r="O47" s="1" t="s">
        <v>71</v>
      </c>
      <c r="P47" s="3"/>
    </row>
    <row r="48" spans="1:16" x14ac:dyDescent="0.2">
      <c r="A48" s="55">
        <v>166</v>
      </c>
      <c r="B48" s="55">
        <v>55</v>
      </c>
      <c r="C48" s="59">
        <v>168</v>
      </c>
      <c r="D48" s="59">
        <v>58</v>
      </c>
      <c r="F48" s="28">
        <f t="shared" ref="F48:F55" si="22">M37/$J$27</f>
        <v>1.8113930115760691E-4</v>
      </c>
      <c r="G48" s="12">
        <f t="shared" ref="G48:H55" si="23">G37</f>
        <v>156</v>
      </c>
      <c r="H48" s="12">
        <f t="shared" si="23"/>
        <v>159</v>
      </c>
      <c r="I48" s="67">
        <f t="shared" ref="I48:I55" si="24">I7</f>
        <v>4</v>
      </c>
      <c r="J48" s="29"/>
      <c r="K48" s="8">
        <f t="shared" ref="K48:K55" si="25">N37</f>
        <v>3.0512915279998887</v>
      </c>
      <c r="L48" s="30"/>
      <c r="M48" s="30"/>
      <c r="N48" s="8"/>
      <c r="P48" s="3">
        <v>1</v>
      </c>
    </row>
    <row r="49" spans="1:17" x14ac:dyDescent="0.2">
      <c r="A49" s="55">
        <v>156</v>
      </c>
      <c r="B49" s="55">
        <v>54</v>
      </c>
      <c r="C49" s="59">
        <v>168</v>
      </c>
      <c r="D49" s="59">
        <v>70</v>
      </c>
      <c r="F49" s="28">
        <f t="shared" si="22"/>
        <v>4.1558199753537059E-4</v>
      </c>
      <c r="G49" s="12">
        <f t="shared" si="23"/>
        <v>159</v>
      </c>
      <c r="H49" s="12">
        <f t="shared" si="23"/>
        <v>162</v>
      </c>
      <c r="I49" s="14">
        <f t="shared" si="24"/>
        <v>6</v>
      </c>
      <c r="J49" s="29">
        <f>I48+I49</f>
        <v>10</v>
      </c>
      <c r="K49" s="8">
        <f t="shared" si="25"/>
        <v>7.0004787484833191</v>
      </c>
      <c r="L49" s="68">
        <f>K49+K48</f>
        <v>10.051770276483207</v>
      </c>
      <c r="M49" s="68">
        <f t="shared" ref="M49:M54" si="26">J49-L49</f>
        <v>-5.1770276483207311E-2</v>
      </c>
      <c r="N49" s="8">
        <f t="shared" ref="N49:N54" si="27">M49*M49/L49</f>
        <v>2.6663577195134934E-4</v>
      </c>
      <c r="O49" s="8">
        <f t="shared" ref="O49:O54" si="28">J49*J49/L49</f>
        <v>9.9484963592887432</v>
      </c>
      <c r="P49" s="3">
        <v>2</v>
      </c>
    </row>
    <row r="50" spans="1:17" x14ac:dyDescent="0.2">
      <c r="A50" s="55">
        <v>169</v>
      </c>
      <c r="B50" s="55">
        <v>57</v>
      </c>
      <c r="C50" s="69">
        <v>169</v>
      </c>
      <c r="D50" s="69">
        <v>62</v>
      </c>
      <c r="F50" s="28">
        <f t="shared" si="22"/>
        <v>8.6969130446829044E-4</v>
      </c>
      <c r="G50" s="12">
        <f t="shared" si="23"/>
        <v>162</v>
      </c>
      <c r="H50" s="12">
        <f t="shared" si="23"/>
        <v>165</v>
      </c>
      <c r="I50" s="14">
        <f t="shared" si="24"/>
        <v>14</v>
      </c>
      <c r="J50" s="29">
        <f>I50</f>
        <v>14</v>
      </c>
      <c r="K50" s="8">
        <f t="shared" si="25"/>
        <v>14.649950023768355</v>
      </c>
      <c r="L50" s="68">
        <f>K50</f>
        <v>14.649950023768355</v>
      </c>
      <c r="M50" s="68">
        <f t="shared" si="26"/>
        <v>-0.64995002376835487</v>
      </c>
      <c r="N50" s="8">
        <f t="shared" si="27"/>
        <v>2.8835254230295565E-2</v>
      </c>
      <c r="O50" s="8">
        <f t="shared" si="28"/>
        <v>13.378885230461941</v>
      </c>
      <c r="P50" s="3">
        <v>3</v>
      </c>
    </row>
    <row r="51" spans="1:17" x14ac:dyDescent="0.2">
      <c r="A51" s="55">
        <v>165</v>
      </c>
      <c r="B51" s="55">
        <v>55</v>
      </c>
      <c r="C51" s="69">
        <v>169</v>
      </c>
      <c r="D51" s="69">
        <v>59</v>
      </c>
      <c r="F51" s="28">
        <f t="shared" si="22"/>
        <v>1.2908413849715039E-3</v>
      </c>
      <c r="G51" s="12">
        <f t="shared" si="23"/>
        <v>165</v>
      </c>
      <c r="H51" s="12">
        <f t="shared" si="23"/>
        <v>168</v>
      </c>
      <c r="I51" s="14">
        <f t="shared" si="24"/>
        <v>24</v>
      </c>
      <c r="J51" s="29">
        <f>I51</f>
        <v>24</v>
      </c>
      <c r="K51" s="8">
        <f t="shared" si="25"/>
        <v>21.744223129844986</v>
      </c>
      <c r="L51" s="68">
        <f>K51</f>
        <v>21.744223129844986</v>
      </c>
      <c r="M51" s="68">
        <f t="shared" si="26"/>
        <v>2.2557768701550138</v>
      </c>
      <c r="N51" s="8">
        <f t="shared" si="27"/>
        <v>0.23401752536939799</v>
      </c>
      <c r="O51" s="8">
        <f t="shared" si="28"/>
        <v>26.489794395524413</v>
      </c>
      <c r="P51" s="3">
        <v>4</v>
      </c>
    </row>
    <row r="52" spans="1:17" x14ac:dyDescent="0.2">
      <c r="A52" s="55">
        <v>172</v>
      </c>
      <c r="B52" s="55">
        <v>78</v>
      </c>
      <c r="C52" s="69">
        <v>169</v>
      </c>
      <c r="D52" s="69">
        <v>68</v>
      </c>
      <c r="F52" s="28">
        <f t="shared" si="22"/>
        <v>1.3590695720816885E-3</v>
      </c>
      <c r="G52" s="12">
        <f t="shared" si="23"/>
        <v>168</v>
      </c>
      <c r="H52" s="12">
        <f t="shared" si="23"/>
        <v>171</v>
      </c>
      <c r="I52" s="14">
        <f t="shared" si="24"/>
        <v>19</v>
      </c>
      <c r="J52" s="29">
        <f>I52</f>
        <v>19</v>
      </c>
      <c r="K52" s="8">
        <f t="shared" si="25"/>
        <v>22.893526941716047</v>
      </c>
      <c r="L52" s="68">
        <f>K52</f>
        <v>22.893526941716047</v>
      </c>
      <c r="M52" s="68">
        <f t="shared" si="26"/>
        <v>-3.893526941716047</v>
      </c>
      <c r="N52" s="8">
        <f t="shared" si="27"/>
        <v>0.66217634724710472</v>
      </c>
      <c r="O52" s="8">
        <f t="shared" si="28"/>
        <v>15.768649405531058</v>
      </c>
      <c r="P52" s="3">
        <v>5</v>
      </c>
    </row>
    <row r="53" spans="1:17" x14ac:dyDescent="0.2">
      <c r="A53" s="55">
        <v>178</v>
      </c>
      <c r="B53" s="55">
        <v>60</v>
      </c>
      <c r="C53" s="69">
        <v>169</v>
      </c>
      <c r="D53" s="69">
        <v>57</v>
      </c>
      <c r="E53" s="1" t="s">
        <v>72</v>
      </c>
      <c r="F53" s="28">
        <f t="shared" si="22"/>
        <v>1.015031928595853E-3</v>
      </c>
      <c r="G53" s="12">
        <f t="shared" si="23"/>
        <v>171</v>
      </c>
      <c r="H53" s="12">
        <f t="shared" si="23"/>
        <v>174</v>
      </c>
      <c r="I53" s="14">
        <f t="shared" si="24"/>
        <v>20</v>
      </c>
      <c r="J53" s="29">
        <f>I53</f>
        <v>20</v>
      </c>
      <c r="K53" s="8">
        <f t="shared" si="25"/>
        <v>17.098212837197146</v>
      </c>
      <c r="L53" s="70">
        <f>K53</f>
        <v>17.098212837197146</v>
      </c>
      <c r="M53" s="68">
        <f t="shared" si="26"/>
        <v>2.9017871628028544</v>
      </c>
      <c r="N53" s="8">
        <f t="shared" si="27"/>
        <v>0.4924706937726811</v>
      </c>
      <c r="O53" s="8">
        <f t="shared" si="28"/>
        <v>23.394257856575535</v>
      </c>
      <c r="P53" s="3">
        <v>6</v>
      </c>
    </row>
    <row r="54" spans="1:17" x14ac:dyDescent="0.2">
      <c r="A54" s="55">
        <v>170</v>
      </c>
      <c r="B54" s="55">
        <v>63</v>
      </c>
      <c r="C54" s="69">
        <v>169</v>
      </c>
      <c r="D54" s="69">
        <v>66</v>
      </c>
      <c r="F54" s="28">
        <f t="shared" si="22"/>
        <v>5.3770125689125059E-4</v>
      </c>
      <c r="G54" s="12">
        <f t="shared" si="23"/>
        <v>174</v>
      </c>
      <c r="H54" s="12">
        <f t="shared" si="23"/>
        <v>177</v>
      </c>
      <c r="I54" s="108">
        <f t="shared" si="24"/>
        <v>8</v>
      </c>
      <c r="J54" s="29">
        <f t="shared" ref="J54:J55" si="29">I54</f>
        <v>8</v>
      </c>
      <c r="K54" s="8">
        <f t="shared" ref="K54:K55" si="30">N43</f>
        <v>9.0575776723331174</v>
      </c>
      <c r="L54" s="70">
        <f t="shared" ref="L54:L55" si="31">K54</f>
        <v>9.0575776723331174</v>
      </c>
      <c r="M54" s="68">
        <f t="shared" ref="M54:M55" si="32">J54-L54</f>
        <v>-1.0575776723331174</v>
      </c>
      <c r="N54" s="8">
        <f t="shared" ref="N54:N55" si="33">M54*M54/L54</f>
        <v>0.1234845091567877</v>
      </c>
      <c r="O54" s="8">
        <f t="shared" ref="O54:O55" si="34">J54*J54/L54</f>
        <v>7.0659068368236699</v>
      </c>
      <c r="P54" s="3">
        <v>7</v>
      </c>
    </row>
    <row r="55" spans="1:17" x14ac:dyDescent="0.2">
      <c r="A55" s="55">
        <v>167</v>
      </c>
      <c r="B55" s="55">
        <v>61</v>
      </c>
      <c r="C55" s="69">
        <v>169</v>
      </c>
      <c r="D55" s="69">
        <v>61</v>
      </c>
      <c r="F55" s="28">
        <f t="shared" si="22"/>
        <v>2.6742292185557383E-4</v>
      </c>
      <c r="G55" s="12">
        <f t="shared" si="23"/>
        <v>177</v>
      </c>
      <c r="H55" s="12">
        <f t="shared" si="23"/>
        <v>180</v>
      </c>
      <c r="I55" s="108">
        <f t="shared" si="24"/>
        <v>5</v>
      </c>
      <c r="J55" s="29">
        <f t="shared" si="29"/>
        <v>5</v>
      </c>
      <c r="K55" s="8">
        <f t="shared" si="30"/>
        <v>4.5047391186571417</v>
      </c>
      <c r="L55" s="70">
        <f t="shared" si="31"/>
        <v>4.5047391186571417</v>
      </c>
      <c r="M55" s="68">
        <f t="shared" si="32"/>
        <v>0.49526088134285828</v>
      </c>
      <c r="N55" s="8">
        <f t="shared" si="33"/>
        <v>5.4450065614814892E-2</v>
      </c>
      <c r="O55" s="8">
        <f t="shared" si="34"/>
        <v>5.5497109469576733</v>
      </c>
      <c r="P55" s="3">
        <v>8</v>
      </c>
    </row>
    <row r="56" spans="1:17" x14ac:dyDescent="0.2">
      <c r="A56" s="55">
        <v>166</v>
      </c>
      <c r="B56" s="55">
        <v>62</v>
      </c>
      <c r="C56" s="69">
        <v>170</v>
      </c>
      <c r="D56" s="69">
        <v>68</v>
      </c>
      <c r="J56" s="14">
        <f>SUM(J48:J55)</f>
        <v>100</v>
      </c>
      <c r="K56" s="14">
        <f>SUM(K48:K55)</f>
        <v>100</v>
      </c>
      <c r="L56" s="8">
        <f>SUM(L48:L54)</f>
        <v>95.495260881342858</v>
      </c>
      <c r="M56" s="1" t="s">
        <v>124</v>
      </c>
      <c r="N56" s="8">
        <f>SUM(N48:N55)</f>
        <v>1.5957010311630333</v>
      </c>
      <c r="O56" s="8">
        <f>SUM(O48:O55)</f>
        <v>101.59570103116303</v>
      </c>
    </row>
    <row r="57" spans="1:17" x14ac:dyDescent="0.2">
      <c r="A57" s="55">
        <v>163</v>
      </c>
      <c r="B57" s="55">
        <v>60</v>
      </c>
      <c r="C57" s="69">
        <v>170</v>
      </c>
      <c r="D57" s="69">
        <v>63</v>
      </c>
      <c r="K57" s="1" t="s">
        <v>74</v>
      </c>
      <c r="L57" s="1" t="s">
        <v>75</v>
      </c>
      <c r="M57" s="1">
        <f>G30/SQRT(100)</f>
        <v>0.504455151624007</v>
      </c>
      <c r="O57" s="8">
        <f>O56-100</f>
        <v>1.5957010311630313</v>
      </c>
    </row>
    <row r="58" spans="1:17" x14ac:dyDescent="0.2">
      <c r="A58" s="55">
        <v>157</v>
      </c>
      <c r="B58" s="55">
        <v>60</v>
      </c>
      <c r="C58" s="69">
        <v>170</v>
      </c>
      <c r="D58" s="69">
        <v>63</v>
      </c>
      <c r="F58" s="5"/>
      <c r="G58" s="8"/>
      <c r="I58" s="5"/>
      <c r="K58" s="1" t="s">
        <v>76</v>
      </c>
      <c r="L58" s="1" t="s">
        <v>77</v>
      </c>
      <c r="M58" s="18">
        <v>7.8</v>
      </c>
      <c r="N58" s="18">
        <f>_xlfn.CHISQ.INV.RT(0.05,4)</f>
        <v>9.4877290367811575</v>
      </c>
    </row>
    <row r="59" spans="1:17" x14ac:dyDescent="0.2">
      <c r="A59" s="55">
        <v>173</v>
      </c>
      <c r="B59" s="55">
        <v>66</v>
      </c>
      <c r="C59" s="69">
        <v>170</v>
      </c>
      <c r="D59" s="69">
        <v>63</v>
      </c>
      <c r="L59" s="1" t="s">
        <v>125</v>
      </c>
    </row>
    <row r="60" spans="1:17" x14ac:dyDescent="0.2">
      <c r="A60" s="55">
        <v>176</v>
      </c>
      <c r="B60" s="55">
        <v>65</v>
      </c>
      <c r="C60" s="69">
        <v>170</v>
      </c>
      <c r="D60" s="69">
        <v>67</v>
      </c>
      <c r="G60" s="6" t="s">
        <v>78</v>
      </c>
      <c r="H60" s="6"/>
      <c r="I60" s="6"/>
      <c r="J60" s="1" t="s">
        <v>79</v>
      </c>
    </row>
    <row r="61" spans="1:17" x14ac:dyDescent="0.2">
      <c r="A61" s="55">
        <v>167</v>
      </c>
      <c r="B61" s="55">
        <v>62</v>
      </c>
      <c r="C61" s="69">
        <v>170</v>
      </c>
      <c r="D61" s="69">
        <v>61</v>
      </c>
    </row>
    <row r="62" spans="1:17" x14ac:dyDescent="0.2">
      <c r="A62" s="55">
        <v>168</v>
      </c>
      <c r="B62" s="55">
        <v>64</v>
      </c>
      <c r="C62" s="69">
        <v>170</v>
      </c>
      <c r="D62" s="69">
        <v>61</v>
      </c>
      <c r="F62" s="1" t="s">
        <v>80</v>
      </c>
      <c r="H62" s="1">
        <f>MIN(B2:B101)</f>
        <v>51</v>
      </c>
      <c r="I62" s="1" t="s">
        <v>81</v>
      </c>
      <c r="J62" s="1">
        <f>MAX(B2:B101)</f>
        <v>81</v>
      </c>
      <c r="K62" s="1" t="str">
        <f>F3</f>
        <v>k=</v>
      </c>
      <c r="L62" s="1">
        <f>G3</f>
        <v>8</v>
      </c>
      <c r="N62" s="1" t="str">
        <f>F4</f>
        <v>h=</v>
      </c>
      <c r="O62" s="1">
        <f>G63/L62</f>
        <v>3.75</v>
      </c>
    </row>
    <row r="63" spans="1:17" x14ac:dyDescent="0.2">
      <c r="A63" s="55">
        <v>172</v>
      </c>
      <c r="B63" s="55">
        <v>70</v>
      </c>
      <c r="C63" s="69">
        <v>170</v>
      </c>
      <c r="D63" s="69">
        <v>65</v>
      </c>
      <c r="F63" s="1" t="str">
        <f>F2</f>
        <v>R</v>
      </c>
      <c r="G63" s="1">
        <f>J62-H62</f>
        <v>30</v>
      </c>
      <c r="H63" s="5" t="str">
        <f>H2</f>
        <v>разброс</v>
      </c>
      <c r="J63" s="1">
        <f t="shared" ref="J63:Q63" si="35">(I65+J65)/2</f>
        <v>52.875</v>
      </c>
      <c r="K63" s="1">
        <f t="shared" si="35"/>
        <v>56.625</v>
      </c>
      <c r="L63" s="1">
        <f t="shared" si="35"/>
        <v>60.375</v>
      </c>
      <c r="M63" s="1">
        <f t="shared" si="35"/>
        <v>64.125</v>
      </c>
      <c r="N63" s="1">
        <f t="shared" si="35"/>
        <v>67.875</v>
      </c>
      <c r="O63" s="1">
        <f t="shared" si="35"/>
        <v>71.625</v>
      </c>
      <c r="P63" s="1">
        <f t="shared" si="35"/>
        <v>75.375</v>
      </c>
      <c r="Q63" s="1">
        <f t="shared" si="35"/>
        <v>79.125</v>
      </c>
    </row>
    <row r="64" spans="1:17" x14ac:dyDescent="0.2">
      <c r="A64" s="55">
        <v>168</v>
      </c>
      <c r="B64" s="55">
        <v>70</v>
      </c>
      <c r="C64" s="69">
        <v>171</v>
      </c>
      <c r="D64" s="69">
        <v>65</v>
      </c>
      <c r="H64" s="1" t="s">
        <v>1</v>
      </c>
      <c r="I64" s="3">
        <v>0</v>
      </c>
      <c r="J64" s="3">
        <v>1</v>
      </c>
      <c r="K64" s="3">
        <v>2</v>
      </c>
      <c r="L64" s="3">
        <v>3</v>
      </c>
      <c r="M64" s="3">
        <v>4</v>
      </c>
      <c r="N64" s="3">
        <v>5</v>
      </c>
      <c r="O64" s="3">
        <v>6</v>
      </c>
      <c r="P64" s="3">
        <v>7</v>
      </c>
      <c r="Q64" s="3">
        <v>8</v>
      </c>
    </row>
    <row r="65" spans="1:35" x14ac:dyDescent="0.2">
      <c r="A65" s="55">
        <v>177</v>
      </c>
      <c r="B65" s="55">
        <v>70</v>
      </c>
      <c r="C65" s="69">
        <v>171</v>
      </c>
      <c r="D65" s="69">
        <v>64</v>
      </c>
      <c r="G65" s="1" t="s">
        <v>0</v>
      </c>
      <c r="I65" s="12">
        <f>H62</f>
        <v>51</v>
      </c>
      <c r="J65" s="12">
        <f t="shared" ref="J65:Q65" si="36">I65+$O$62</f>
        <v>54.75</v>
      </c>
      <c r="K65" s="12">
        <f t="shared" si="36"/>
        <v>58.5</v>
      </c>
      <c r="L65" s="12">
        <f t="shared" si="36"/>
        <v>62.25</v>
      </c>
      <c r="M65" s="12">
        <f t="shared" si="36"/>
        <v>66</v>
      </c>
      <c r="N65" s="12">
        <f t="shared" si="36"/>
        <v>69.75</v>
      </c>
      <c r="O65" s="12">
        <f t="shared" si="36"/>
        <v>73.5</v>
      </c>
      <c r="P65" s="12">
        <f t="shared" si="36"/>
        <v>77.25</v>
      </c>
      <c r="Q65" s="32">
        <f t="shared" si="36"/>
        <v>81</v>
      </c>
    </row>
    <row r="66" spans="1:35" x14ac:dyDescent="0.2">
      <c r="A66" s="55">
        <v>163</v>
      </c>
      <c r="B66" s="55">
        <v>68</v>
      </c>
      <c r="C66" s="69">
        <v>171</v>
      </c>
      <c r="D66" s="69">
        <v>65</v>
      </c>
      <c r="F66" s="9">
        <f t="shared" ref="F66:H73" si="37">F7</f>
        <v>1</v>
      </c>
      <c r="G66" s="12">
        <f t="shared" si="37"/>
        <v>156</v>
      </c>
      <c r="H66" s="12">
        <f t="shared" si="37"/>
        <v>159</v>
      </c>
      <c r="I66" s="33"/>
      <c r="J66" s="34">
        <f>COUNTIF(D2:D5,"&lt;="&amp;J65)</f>
        <v>3</v>
      </c>
      <c r="K66" s="71">
        <f>COUNTIF(D2:D5,"&lt;="&amp;K65)-J66</f>
        <v>0</v>
      </c>
      <c r="L66" s="72">
        <f>COUNTIF(D2:D5,"&lt;="&amp;L65)-K66-J66</f>
        <v>1</v>
      </c>
      <c r="M66" s="73">
        <f>COUNTIF(D2:D5,"&lt;="&amp;M65)-L66-K66-J66</f>
        <v>0</v>
      </c>
      <c r="N66" s="74">
        <f>COUNTIF(D2:D5,"&lt;="&amp;N65)-M66-L66-K66-J66</f>
        <v>0</v>
      </c>
      <c r="O66" s="74">
        <f>COUNTIF(D2:D5,"&lt;="&amp;O65)-N66-M66-L66-K66-J66</f>
        <v>0</v>
      </c>
      <c r="P66" s="74">
        <f>COUNTIF(D2:D5,"&lt;="&amp;P65)-O66-N66-M66-L66-K66-J66</f>
        <v>0</v>
      </c>
      <c r="Q66" s="74">
        <f>COUNTIF(D2:D5,"&lt;="&amp;Q65)-P66-O66-N66-M66-L66-K66-J66</f>
        <v>0</v>
      </c>
      <c r="R66" s="1">
        <f t="shared" ref="R66:R73" si="38">SUM(J66:Q66)</f>
        <v>4</v>
      </c>
      <c r="S66" s="19">
        <f t="shared" ref="S66:S73" si="39">I48</f>
        <v>4</v>
      </c>
      <c r="T66" s="1">
        <f t="shared" ref="T66:T73" si="40">F66</f>
        <v>1</v>
      </c>
      <c r="U66" s="8">
        <f t="shared" ref="U66:U73" si="41">($J$63*J66+$K$63*K66+$L$63*L66+$M$63*M66+$N$63*N66+$O$63*O66+$P$63*P66+$Q$63*Q66)/R66</f>
        <v>54.75</v>
      </c>
      <c r="X66" s="1" t="s">
        <v>126</v>
      </c>
      <c r="Y66" s="1" t="s">
        <v>0</v>
      </c>
      <c r="Z66" s="1" t="s">
        <v>1</v>
      </c>
      <c r="AA66" s="1" t="s">
        <v>127</v>
      </c>
      <c r="AB66" s="1" t="s">
        <v>128</v>
      </c>
      <c r="AC66" s="1" t="s">
        <v>129</v>
      </c>
      <c r="AD66" s="1" t="s">
        <v>130</v>
      </c>
      <c r="AE66" s="1" t="s">
        <v>131</v>
      </c>
    </row>
    <row r="67" spans="1:35" x14ac:dyDescent="0.2">
      <c r="A67" s="55">
        <v>169</v>
      </c>
      <c r="B67" s="55">
        <v>66</v>
      </c>
      <c r="C67" s="69">
        <v>171</v>
      </c>
      <c r="D67" s="69">
        <v>63</v>
      </c>
      <c r="F67" s="9">
        <f t="shared" si="37"/>
        <v>2</v>
      </c>
      <c r="G67" s="12">
        <f t="shared" si="37"/>
        <v>159</v>
      </c>
      <c r="H67" s="12">
        <f t="shared" si="37"/>
        <v>162</v>
      </c>
      <c r="I67" s="33"/>
      <c r="J67" s="34">
        <f>COUNTIF(D6:D11,"&lt;="&amp;J65)</f>
        <v>2</v>
      </c>
      <c r="K67" s="35">
        <f>COUNTIF(D6:D11,"&lt;="&amp;K65)-J67</f>
        <v>3</v>
      </c>
      <c r="L67" s="31">
        <f>COUNTIF(D6:D11,"&lt;="&amp;L65)-K67-J67</f>
        <v>0</v>
      </c>
      <c r="M67" s="36">
        <f>COUNTIF(D6:D11,"&lt;="&amp;M65)-L67-K67-J67</f>
        <v>1</v>
      </c>
      <c r="N67" s="6">
        <f>COUNTIF(D6:D11,"&lt;="&amp;N65)-M67-L67-K67-J67</f>
        <v>0</v>
      </c>
      <c r="O67" s="7">
        <f>COUNTIF(D6:D11,"&lt;="&amp;O65)-N67-M67-L67-K67-J67</f>
        <v>0</v>
      </c>
      <c r="P67" s="74">
        <f>COUNTIF(D6:D11,"&lt;="&amp;P65)-O67-N67-M67-L67-K67-J67</f>
        <v>0</v>
      </c>
      <c r="Q67" s="75">
        <f>COUNTIF(D6:D11,"&lt;="&amp;Q65)-P67-O67-N67-M67-L67-K67-J67</f>
        <v>0</v>
      </c>
      <c r="R67" s="1">
        <f t="shared" si="38"/>
        <v>6</v>
      </c>
      <c r="S67" s="19">
        <f t="shared" si="39"/>
        <v>6</v>
      </c>
      <c r="T67" s="1">
        <f t="shared" si="40"/>
        <v>2</v>
      </c>
      <c r="U67" s="8">
        <f t="shared" si="41"/>
        <v>56.625</v>
      </c>
      <c r="X67" s="1">
        <v>1</v>
      </c>
      <c r="Y67" s="5">
        <f t="shared" ref="Y67:Y74" si="42">I78</f>
        <v>157.5</v>
      </c>
      <c r="Z67" s="5">
        <f t="shared" ref="Z67:Z74" si="43">U66</f>
        <v>54.75</v>
      </c>
      <c r="AA67" s="8">
        <f t="shared" ref="AA67:AA74" si="44">Y67*Y67</f>
        <v>24806.25</v>
      </c>
      <c r="AB67" s="8">
        <f t="shared" ref="AB67:AB74" si="45">Y67*Z67</f>
        <v>8623.125</v>
      </c>
      <c r="AC67" s="8">
        <f t="shared" ref="AC67:AC74" si="46">Z67*Z67</f>
        <v>2997.5625</v>
      </c>
      <c r="AD67" s="8">
        <v>1</v>
      </c>
      <c r="AE67" s="8">
        <f>Y76</f>
        <v>168</v>
      </c>
      <c r="AF67" s="8">
        <f>Z76</f>
        <v>63.810355968045116</v>
      </c>
      <c r="AG67" s="8"/>
      <c r="AH67" s="8"/>
    </row>
    <row r="68" spans="1:35" x14ac:dyDescent="0.2">
      <c r="A68" s="55">
        <v>173</v>
      </c>
      <c r="B68" s="55">
        <v>77</v>
      </c>
      <c r="C68" s="69">
        <v>171</v>
      </c>
      <c r="D68" s="69">
        <v>63</v>
      </c>
      <c r="F68" s="9">
        <f t="shared" si="37"/>
        <v>3</v>
      </c>
      <c r="G68" s="12">
        <f t="shared" si="37"/>
        <v>162</v>
      </c>
      <c r="H68" s="12">
        <f t="shared" si="37"/>
        <v>165</v>
      </c>
      <c r="I68" s="33"/>
      <c r="J68" s="34">
        <f>COUNTIF($D$12:$D$25,"&lt;="&amp;J65)</f>
        <v>0</v>
      </c>
      <c r="K68" s="35">
        <f>COUNTIF($D$12:$D$25,"&lt;="&amp;K65)-J68</f>
        <v>5</v>
      </c>
      <c r="L68" s="31">
        <f>COUNTIF($D$12:$D$25,"&lt;="&amp;L65)-K68-J68</f>
        <v>5</v>
      </c>
      <c r="M68" s="36">
        <f>COUNTIF($D$12:$D$25,"&lt;="&amp;M65)-L68-K68-J68</f>
        <v>0</v>
      </c>
      <c r="N68" s="6">
        <f>COUNTIF($D$12:$D$25,"&lt;="&amp;N65)-M68-L68-K68-J68</f>
        <v>4</v>
      </c>
      <c r="O68" s="7">
        <f>COUNTIF($D$12:$D$25,"&lt;="&amp;O65)-N68-M68-L68-K68-J68</f>
        <v>0</v>
      </c>
      <c r="P68" s="37">
        <f>COUNTIF($D$12:$D$25,"&lt;="&amp;P65)-O68-N68-M68-L68-K68-J68</f>
        <v>0</v>
      </c>
      <c r="Q68" s="38">
        <f>COUNTIF($D$12:$D$25,"&lt;="&amp;Q65)-P68-O68-N68-M68-L68-K68-J68</f>
        <v>0</v>
      </c>
      <c r="R68" s="1">
        <f t="shared" si="38"/>
        <v>14</v>
      </c>
      <c r="S68" s="19">
        <f t="shared" si="39"/>
        <v>14</v>
      </c>
      <c r="T68" s="1">
        <f t="shared" si="40"/>
        <v>3</v>
      </c>
      <c r="U68" s="8">
        <f t="shared" si="41"/>
        <v>61.178571428571431</v>
      </c>
      <c r="X68" s="1">
        <v>2</v>
      </c>
      <c r="Y68" s="5">
        <f t="shared" si="42"/>
        <v>160.5</v>
      </c>
      <c r="Z68" s="5">
        <f t="shared" si="43"/>
        <v>56.625</v>
      </c>
      <c r="AA68" s="8">
        <f t="shared" si="44"/>
        <v>25760.25</v>
      </c>
      <c r="AB68" s="8">
        <f t="shared" si="45"/>
        <v>9088.3125</v>
      </c>
      <c r="AC68" s="8">
        <f t="shared" si="46"/>
        <v>3206.390625</v>
      </c>
      <c r="AD68" s="8">
        <f>Y76</f>
        <v>168</v>
      </c>
      <c r="AE68" s="8">
        <f>AA76</f>
        <v>28271.25</v>
      </c>
      <c r="AF68" s="8">
        <f>AB76</f>
        <v>10761.041720512218</v>
      </c>
      <c r="AG68" s="8"/>
      <c r="AH68" s="8"/>
    </row>
    <row r="69" spans="1:35" x14ac:dyDescent="0.2">
      <c r="A69" s="55">
        <v>178</v>
      </c>
      <c r="B69" s="55">
        <v>71</v>
      </c>
      <c r="C69" s="76">
        <v>172</v>
      </c>
      <c r="D69" s="76">
        <v>60</v>
      </c>
      <c r="F69" s="9">
        <f t="shared" si="37"/>
        <v>4</v>
      </c>
      <c r="G69" s="12">
        <f t="shared" si="37"/>
        <v>165</v>
      </c>
      <c r="H69" s="12">
        <f t="shared" si="37"/>
        <v>168</v>
      </c>
      <c r="I69" s="33"/>
      <c r="J69" s="34">
        <f>COUNTIF($D$26:$D$49,"&lt;="&amp;J65)</f>
        <v>1</v>
      </c>
      <c r="K69" s="35">
        <f>COUNTIF($D$26:$D$49,"&lt;="&amp;K65)-J69</f>
        <v>6</v>
      </c>
      <c r="L69" s="31">
        <f>COUNTIF($D$26:$D$49,"&lt;="&amp;L65)-K69-J69</f>
        <v>5</v>
      </c>
      <c r="M69" s="36">
        <f>COUNTIF($D$26:$D$49,"&lt;="&amp;M65)-L69-K69-J69</f>
        <v>8</v>
      </c>
      <c r="N69" s="6">
        <f>COUNTIF($D$26:$D$49,"&lt;="&amp;N65)-M69-L69-K69-J69</f>
        <v>0</v>
      </c>
      <c r="O69" s="7">
        <f>COUNTIF($D$26:$D$49,"&lt;="&amp;O65)-N69-M69-L69-K69-J69</f>
        <v>4</v>
      </c>
      <c r="P69" s="37">
        <f>COUNTIF($D$26:$D$49,"&lt;="&amp;P65)-O69-N69-M69-L69-K69-J69</f>
        <v>0</v>
      </c>
      <c r="Q69" s="38">
        <f>COUNTIF($D$26:$D$49,"&lt;="&amp;Q65)-P69-O69-N69-M69-L69-K69-J69</f>
        <v>0</v>
      </c>
      <c r="R69" s="1">
        <f t="shared" si="38"/>
        <v>24</v>
      </c>
      <c r="S69" s="19">
        <f t="shared" si="39"/>
        <v>24</v>
      </c>
      <c r="T69" s="1">
        <f t="shared" si="40"/>
        <v>4</v>
      </c>
      <c r="U69" s="1">
        <f t="shared" si="41"/>
        <v>62.25</v>
      </c>
      <c r="X69" s="1">
        <v>3</v>
      </c>
      <c r="Y69" s="5">
        <f t="shared" si="42"/>
        <v>163.5</v>
      </c>
      <c r="Z69" s="5">
        <f t="shared" si="43"/>
        <v>61.178571428571431</v>
      </c>
      <c r="AA69" s="8">
        <f t="shared" si="44"/>
        <v>26732.25</v>
      </c>
      <c r="AB69" s="8">
        <f t="shared" si="45"/>
        <v>10002.696428571429</v>
      </c>
      <c r="AC69" s="8">
        <f t="shared" si="46"/>
        <v>3742.8176020408164</v>
      </c>
      <c r="AD69" s="8"/>
      <c r="AE69" s="8"/>
      <c r="AF69" s="8"/>
      <c r="AG69" s="8"/>
      <c r="AH69" s="8"/>
    </row>
    <row r="70" spans="1:35" x14ac:dyDescent="0.2">
      <c r="A70" s="55">
        <v>171</v>
      </c>
      <c r="B70" s="55">
        <v>64</v>
      </c>
      <c r="C70" s="76">
        <v>172</v>
      </c>
      <c r="D70" s="76">
        <v>78</v>
      </c>
      <c r="F70" s="9">
        <f t="shared" si="37"/>
        <v>5</v>
      </c>
      <c r="G70" s="12">
        <f t="shared" si="37"/>
        <v>168</v>
      </c>
      <c r="H70" s="12">
        <f t="shared" si="37"/>
        <v>171</v>
      </c>
      <c r="I70" s="33"/>
      <c r="J70" s="34">
        <f>COUNTIF($D$50:$D$68,"&lt;="&amp;J65)</f>
        <v>0</v>
      </c>
      <c r="K70" s="71">
        <f>COUNTIF($D$50:$D$68,"&lt;="&amp;K65)-J70</f>
        <v>1</v>
      </c>
      <c r="L70" s="72">
        <f>COUNTIF($D$50:$D$68,"&lt;="&amp;L65)-K70-J70</f>
        <v>5</v>
      </c>
      <c r="M70" s="73">
        <f>COUNTIF($D$50:$D$68,"&lt;="&amp;M65)-L70-K70-J70</f>
        <v>10</v>
      </c>
      <c r="N70" s="74">
        <f>COUNTIF($D$50:$D$68,"&lt;="&amp;N65)-M70-L70-K70-J70</f>
        <v>3</v>
      </c>
      <c r="O70" s="77">
        <f>COUNTIF($D$50:$D$68,"&lt;="&amp;O65)-N70-M70-L70-K70-J70</f>
        <v>0</v>
      </c>
      <c r="P70" s="78">
        <f>COUNTIF($D$50:$D$68,"&lt;="&amp;P65)-O70-N70-M70-L70-K70-J70</f>
        <v>0</v>
      </c>
      <c r="Q70" s="75">
        <f>COUNTIF($D$50:$D$68,"&lt;="&amp;Q65)-P70-O70-N70-M70-L70-K70-J70</f>
        <v>0</v>
      </c>
      <c r="R70" s="1">
        <f t="shared" si="38"/>
        <v>19</v>
      </c>
      <c r="S70" s="19">
        <f t="shared" si="39"/>
        <v>19</v>
      </c>
      <c r="T70" s="1">
        <f t="shared" si="40"/>
        <v>5</v>
      </c>
      <c r="U70" s="8">
        <f t="shared" si="41"/>
        <v>63.335526315789473</v>
      </c>
      <c r="X70" s="1">
        <v>4</v>
      </c>
      <c r="Y70" s="5">
        <f t="shared" si="42"/>
        <v>166.5</v>
      </c>
      <c r="Z70" s="5">
        <f t="shared" si="43"/>
        <v>62.25</v>
      </c>
      <c r="AA70" s="8">
        <f t="shared" si="44"/>
        <v>27722.25</v>
      </c>
      <c r="AB70" s="8">
        <f t="shared" si="45"/>
        <v>10364.625</v>
      </c>
      <c r="AC70" s="8">
        <f t="shared" si="46"/>
        <v>3875.0625</v>
      </c>
      <c r="AD70" s="8">
        <f t="array" ref="AD70:AE71">MINVERSE(AD67:AE68)</f>
        <v>598.33333333333337</v>
      </c>
      <c r="AE70" s="8">
        <v>-3.5555555555555549</v>
      </c>
      <c r="AF70" s="8"/>
      <c r="AG70" s="8"/>
      <c r="AH70" s="8"/>
    </row>
    <row r="71" spans="1:35" x14ac:dyDescent="0.2">
      <c r="A71" s="55">
        <v>161</v>
      </c>
      <c r="B71" s="55">
        <v>51</v>
      </c>
      <c r="C71" s="76">
        <v>172</v>
      </c>
      <c r="D71" s="76">
        <v>66</v>
      </c>
      <c r="F71" s="9">
        <f t="shared" si="37"/>
        <v>6</v>
      </c>
      <c r="G71" s="12">
        <f t="shared" si="37"/>
        <v>171</v>
      </c>
      <c r="H71" s="12">
        <f t="shared" si="37"/>
        <v>174</v>
      </c>
      <c r="I71" s="33"/>
      <c r="J71" s="34">
        <f>COUNTIF(D69:D88,"&lt;="&amp;J65)</f>
        <v>0</v>
      </c>
      <c r="K71" s="71">
        <f>COUNTIF(D69:D88,"&lt;="&amp;K65)-J71</f>
        <v>0</v>
      </c>
      <c r="L71" s="72">
        <f>COUNTIF(D69:D88,"&lt;="&amp;L65)-K71-J71</f>
        <v>2</v>
      </c>
      <c r="M71" s="73">
        <f>COUNTIF(D69:D88,"&lt;="&amp;M65)-L71-K71-J71</f>
        <v>5</v>
      </c>
      <c r="N71" s="74">
        <f>COUNTIF(D69:D88,"&lt;="&amp;N65)-M71-L71-K71-J71</f>
        <v>2</v>
      </c>
      <c r="O71" s="77">
        <f>COUNTIF(D69:D88,"&lt;="&amp;O65)-N71-M71-L71-K71-J71</f>
        <v>6</v>
      </c>
      <c r="P71" s="78">
        <f>COUNTIF(D69:D88,"&lt;="&amp;P65)-O71-N71-M71-L71-K71-J71</f>
        <v>2</v>
      </c>
      <c r="Q71" s="75">
        <f>COUNTIF(D69:D88,"&lt;="&amp;Q65)-P71-O71-N71-M71-L71-K71-J71</f>
        <v>3</v>
      </c>
      <c r="R71" s="1">
        <f t="shared" si="38"/>
        <v>20</v>
      </c>
      <c r="S71" s="19">
        <f t="shared" si="39"/>
        <v>20</v>
      </c>
      <c r="T71" s="1">
        <f t="shared" si="40"/>
        <v>6</v>
      </c>
      <c r="U71" s="1">
        <f t="shared" si="41"/>
        <v>69.75</v>
      </c>
      <c r="X71" s="1">
        <v>5</v>
      </c>
      <c r="Y71" s="5">
        <f t="shared" si="42"/>
        <v>169.5</v>
      </c>
      <c r="Z71" s="5">
        <f t="shared" si="43"/>
        <v>63.335526315789473</v>
      </c>
      <c r="AA71" s="8">
        <f t="shared" si="44"/>
        <v>28730.25</v>
      </c>
      <c r="AB71" s="8">
        <f t="shared" si="45"/>
        <v>10735.371710526315</v>
      </c>
      <c r="AC71" s="8">
        <f t="shared" si="46"/>
        <v>4011.3888936980607</v>
      </c>
      <c r="AD71" s="8">
        <v>-3.5555555555555554</v>
      </c>
      <c r="AE71" s="8">
        <v>2.1164021164021163E-2</v>
      </c>
      <c r="AF71" s="8"/>
      <c r="AG71" s="8"/>
      <c r="AH71" s="8"/>
    </row>
    <row r="72" spans="1:35" x14ac:dyDescent="0.2">
      <c r="A72" s="55">
        <v>162</v>
      </c>
      <c r="B72" s="55">
        <v>65</v>
      </c>
      <c r="C72" s="76">
        <v>172</v>
      </c>
      <c r="D72" s="76">
        <v>78</v>
      </c>
      <c r="F72" s="9">
        <f t="shared" si="37"/>
        <v>7</v>
      </c>
      <c r="G72" s="12">
        <f t="shared" si="37"/>
        <v>174</v>
      </c>
      <c r="H72" s="12">
        <f t="shared" si="37"/>
        <v>177</v>
      </c>
      <c r="I72" s="33"/>
      <c r="J72" s="34">
        <f>COUNTIF(D89:D96,"&lt;="&amp;J65)</f>
        <v>0</v>
      </c>
      <c r="K72" s="71">
        <f>COUNTIF(D89:D96,"&lt;="&amp;K65)-J72</f>
        <v>0</v>
      </c>
      <c r="L72" s="72">
        <f>COUNTIF(D89:D96,"&lt;="&amp;L65)-K72-J72</f>
        <v>0</v>
      </c>
      <c r="M72" s="73">
        <f>COUNTIF(D89:D96,"&lt;="&amp;M65)-L72-K72-J72</f>
        <v>3</v>
      </c>
      <c r="N72" s="74">
        <f>COUNTIF(D89:D96,"&lt;="&amp;N65)-M72-L72-K72-J72</f>
        <v>0</v>
      </c>
      <c r="O72" s="77">
        <f>COUNTIF(D89:D96,"&lt;="&amp;O65)-N72-M72-L72-K72-J72</f>
        <v>3</v>
      </c>
      <c r="P72" s="78">
        <f>COUNTIF(D89:D96,"&lt;="&amp;P65)-O72-N72-M72-L72-K72-J72</f>
        <v>1</v>
      </c>
      <c r="Q72" s="75">
        <f>COUNTIF(D89:D96,"&lt;="&amp;Q65)-P72-O72-N72-M72-L72-K72-J72</f>
        <v>1</v>
      </c>
      <c r="R72" s="1">
        <f t="shared" si="38"/>
        <v>8</v>
      </c>
      <c r="S72" s="19">
        <f t="shared" si="39"/>
        <v>8</v>
      </c>
      <c r="T72" s="1">
        <f t="shared" si="40"/>
        <v>7</v>
      </c>
      <c r="U72" s="1">
        <f t="shared" si="41"/>
        <v>70.21875</v>
      </c>
      <c r="X72" s="1">
        <v>6</v>
      </c>
      <c r="Y72" s="5">
        <f t="shared" si="42"/>
        <v>172.5</v>
      </c>
      <c r="Z72" s="5">
        <f t="shared" si="43"/>
        <v>69.75</v>
      </c>
      <c r="AA72" s="8">
        <f t="shared" si="44"/>
        <v>29756.25</v>
      </c>
      <c r="AB72" s="8">
        <f t="shared" si="45"/>
        <v>12031.875</v>
      </c>
      <c r="AC72" s="8">
        <f t="shared" si="46"/>
        <v>4865.0625</v>
      </c>
      <c r="AD72" s="8"/>
      <c r="AE72" s="8"/>
      <c r="AF72" s="8"/>
      <c r="AG72" s="8"/>
      <c r="AH72" s="8"/>
    </row>
    <row r="73" spans="1:35" x14ac:dyDescent="0.2">
      <c r="A73" s="55">
        <v>167</v>
      </c>
      <c r="B73" s="55">
        <v>63</v>
      </c>
      <c r="C73" s="76">
        <v>172</v>
      </c>
      <c r="D73" s="76">
        <v>70</v>
      </c>
      <c r="F73" s="9">
        <f t="shared" si="37"/>
        <v>8</v>
      </c>
      <c r="G73" s="12">
        <f t="shared" si="37"/>
        <v>177</v>
      </c>
      <c r="H73" s="12">
        <f t="shared" si="37"/>
        <v>180</v>
      </c>
      <c r="I73" s="33"/>
      <c r="J73" s="34">
        <f>COUNTIF(D97:D101,"&lt;="&amp;J65)</f>
        <v>0</v>
      </c>
      <c r="K73" s="35">
        <f>COUNTIF(D97:D101,"&lt;="&amp;K65)-J73</f>
        <v>0</v>
      </c>
      <c r="L73" s="72">
        <f>COUNTIF(D97:D101,"&lt;="&amp;L65)-K73-J73</f>
        <v>1</v>
      </c>
      <c r="M73" s="73">
        <f>COUNTIF(D97:D101,"&lt;="&amp;M65)-L73-K73-J73</f>
        <v>0</v>
      </c>
      <c r="N73" s="74">
        <f>COUNTIF(D97:D101,"&lt;="&amp;N65)-M73-L73-K73-J73</f>
        <v>0</v>
      </c>
      <c r="O73" s="77">
        <f>COUNTIF(D97:D101,"&lt;="&amp;O65)-N73-M73-L73-K73-J73</f>
        <v>2</v>
      </c>
      <c r="P73" s="78">
        <f>COUNTIF(D97:D101,"&lt;="&amp;P65)-O73-N73-M73-L73-K73-J73</f>
        <v>0</v>
      </c>
      <c r="Q73" s="75">
        <f>COUNTIF(D97:D101,"&lt;="&amp;Q65)-P73-O73-N73-M73-L73-K73-J73</f>
        <v>2</v>
      </c>
      <c r="R73" s="1">
        <f t="shared" si="38"/>
        <v>5</v>
      </c>
      <c r="S73" s="19">
        <f t="shared" si="39"/>
        <v>5</v>
      </c>
      <c r="T73" s="1">
        <f t="shared" si="40"/>
        <v>8</v>
      </c>
      <c r="U73" s="1">
        <f t="shared" si="41"/>
        <v>72.375</v>
      </c>
      <c r="X73" s="1">
        <v>7</v>
      </c>
      <c r="Y73" s="5">
        <f t="shared" si="42"/>
        <v>175.5</v>
      </c>
      <c r="Z73" s="5">
        <f t="shared" si="43"/>
        <v>70.21875</v>
      </c>
      <c r="AA73" s="8">
        <f t="shared" si="44"/>
        <v>30800.25</v>
      </c>
      <c r="AB73" s="8">
        <f t="shared" si="45"/>
        <v>12323.390625</v>
      </c>
      <c r="AC73" s="8">
        <f t="shared" si="46"/>
        <v>4930.6728515625</v>
      </c>
      <c r="AD73" s="8"/>
      <c r="AE73" s="8"/>
      <c r="AF73" s="8"/>
      <c r="AG73" s="8"/>
      <c r="AH73" s="8"/>
    </row>
    <row r="74" spans="1:35" x14ac:dyDescent="0.2">
      <c r="A74" s="55">
        <v>174</v>
      </c>
      <c r="B74" s="55">
        <v>68</v>
      </c>
      <c r="C74" s="76">
        <v>172</v>
      </c>
      <c r="D74" s="76">
        <v>59</v>
      </c>
      <c r="J74" s="1">
        <f t="shared" ref="J74:S74" si="47">SUM(J66:J73)</f>
        <v>6</v>
      </c>
      <c r="K74" s="1">
        <f t="shared" si="47"/>
        <v>15</v>
      </c>
      <c r="L74" s="1">
        <f t="shared" si="47"/>
        <v>19</v>
      </c>
      <c r="M74" s="1">
        <f t="shared" si="47"/>
        <v>27</v>
      </c>
      <c r="N74" s="1">
        <f t="shared" si="47"/>
        <v>9</v>
      </c>
      <c r="O74" s="1">
        <f t="shared" si="47"/>
        <v>15</v>
      </c>
      <c r="P74" s="1">
        <f t="shared" si="47"/>
        <v>3</v>
      </c>
      <c r="Q74" s="1">
        <f t="shared" si="47"/>
        <v>6</v>
      </c>
      <c r="R74" s="1">
        <f t="shared" si="47"/>
        <v>100</v>
      </c>
      <c r="S74" s="1">
        <f t="shared" si="47"/>
        <v>100</v>
      </c>
      <c r="X74" s="1">
        <v>8</v>
      </c>
      <c r="Y74" s="5">
        <f t="shared" si="42"/>
        <v>178.5</v>
      </c>
      <c r="Z74" s="5">
        <f t="shared" si="43"/>
        <v>72.375</v>
      </c>
      <c r="AA74" s="8">
        <f t="shared" si="44"/>
        <v>31862.25</v>
      </c>
      <c r="AB74" s="8">
        <f t="shared" si="45"/>
        <v>12918.9375</v>
      </c>
      <c r="AC74" s="8">
        <f t="shared" si="46"/>
        <v>5238.140625</v>
      </c>
      <c r="AD74" s="8"/>
      <c r="AE74" s="79" t="s">
        <v>132</v>
      </c>
      <c r="AF74" s="8">
        <f>AB76-Z76*Y76</f>
        <v>40.901917880637484</v>
      </c>
      <c r="AG74" s="8" t="s">
        <v>133</v>
      </c>
      <c r="AH74" s="8">
        <f>(AA76-Y76*Y76)^0.5</f>
        <v>6.8738635424337602</v>
      </c>
    </row>
    <row r="75" spans="1:35" x14ac:dyDescent="0.2">
      <c r="A75" s="55">
        <v>167</v>
      </c>
      <c r="B75" s="55">
        <v>65</v>
      </c>
      <c r="C75" s="76">
        <v>172</v>
      </c>
      <c r="D75" s="76">
        <v>73</v>
      </c>
      <c r="J75" s="39">
        <f>COUNTIF($B$2:$B$101,"&lt;=54,75")</f>
        <v>6</v>
      </c>
      <c r="K75" s="39">
        <f>COUNTIF($B$2:$B$101,"&lt;=58,5")-COUNTIF($B$2:$B$101,"&lt;=54")</f>
        <v>15</v>
      </c>
      <c r="L75" s="39">
        <f>COUNTIF($B$2:$B$101,"&lt;=62")-COUNTIF($B$2:$B$101,"&lt;=58,0")</f>
        <v>19</v>
      </c>
      <c r="M75" s="39">
        <f>COUNTIF($B$2:$B$101,"&lt;=66,0")-COUNTIF($B$2:$B$101,"&lt;=62,5")</f>
        <v>27</v>
      </c>
      <c r="N75" s="39">
        <f>COUNTIF($B$2:$B$101,"&lt;=69,5")-COUNTIF($B$2:$B$101,"&lt;=66")</f>
        <v>9</v>
      </c>
      <c r="O75" s="39">
        <f>COUNTIF($B$2:$B$101,"&lt;=73,0")-COUNTIF($B$2:$B$101,"&lt;=69,5")</f>
        <v>15</v>
      </c>
      <c r="P75" s="39">
        <f>COUNTIF($B$2:$B$101,"&lt;=77")-COUNTIF($B$2:$B$101,"&lt;=73,0")</f>
        <v>3</v>
      </c>
      <c r="Q75" s="39">
        <f>COUNTIF($B$2:$B$101,"&lt;=81")-COUNTIF($B$2:$B$101,"&lt;=77")</f>
        <v>6</v>
      </c>
      <c r="R75" s="1">
        <f>SUM(J72:Q72)</f>
        <v>8</v>
      </c>
      <c r="X75" s="1" t="s">
        <v>134</v>
      </c>
      <c r="Y75" s="8">
        <f>SUM(Y67:Y74)</f>
        <v>1344</v>
      </c>
      <c r="Z75" s="8">
        <f>SUM(Z67:Z74)</f>
        <v>510.48284774436092</v>
      </c>
      <c r="AA75" s="8">
        <f>SUM(AA67:AA74)</f>
        <v>226170</v>
      </c>
      <c r="AB75" s="8">
        <f>SUM(AB67:AB74)</f>
        <v>86088.333764097741</v>
      </c>
      <c r="AC75" s="8">
        <f>SUM(AC67:AC74)</f>
        <v>32867.098097301379</v>
      </c>
      <c r="AD75" s="8"/>
      <c r="AE75" s="8"/>
      <c r="AF75" s="8"/>
      <c r="AG75" s="8" t="s">
        <v>135</v>
      </c>
      <c r="AH75" s="8">
        <f>(AC76-Z76*Z76)^0.5</f>
        <v>6.0519198106089949</v>
      </c>
    </row>
    <row r="76" spans="1:35" x14ac:dyDescent="0.2">
      <c r="A76" s="55">
        <v>169</v>
      </c>
      <c r="B76" s="55">
        <v>61</v>
      </c>
      <c r="C76" s="76">
        <v>172</v>
      </c>
      <c r="D76" s="76">
        <v>70</v>
      </c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>
        <f>SUM(J73:Q73)</f>
        <v>5</v>
      </c>
      <c r="S76" s="80"/>
      <c r="X76" s="1" t="s">
        <v>136</v>
      </c>
      <c r="Y76" s="8">
        <f>Y75/$X$74</f>
        <v>168</v>
      </c>
      <c r="Z76" s="8">
        <f>Z75/$X$74</f>
        <v>63.810355968045116</v>
      </c>
      <c r="AA76" s="8">
        <f>AA75/$X$74</f>
        <v>28271.25</v>
      </c>
      <c r="AB76" s="8">
        <f>AB75/$X$74</f>
        <v>10761.041720512218</v>
      </c>
      <c r="AC76" s="8">
        <f>AC75/$X$74</f>
        <v>4108.3872621626724</v>
      </c>
      <c r="AD76" s="8">
        <f t="array" ref="AD76:AD77">MMULT(AD70:AE71,AF67:AF68)</f>
        <v>-81.618685385321442</v>
      </c>
      <c r="AE76" s="81" t="s">
        <v>130</v>
      </c>
      <c r="AF76" s="8">
        <f>INDEX(LINEST(Z67:Z74,Y67:Y74,1,0),1,2)</f>
        <v>-81.618685385338352</v>
      </c>
      <c r="AG76" s="8" t="s">
        <v>137</v>
      </c>
      <c r="AH76" s="8">
        <f>AF74/(AH74*AH75)</f>
        <v>0.98321750296736143</v>
      </c>
      <c r="AI76" s="8">
        <f>AH76^2</f>
        <v>0.96671665814137342</v>
      </c>
    </row>
    <row r="77" spans="1:35" x14ac:dyDescent="0.2">
      <c r="A77" s="55">
        <v>176</v>
      </c>
      <c r="B77" s="55">
        <v>70</v>
      </c>
      <c r="C77" s="76">
        <v>173</v>
      </c>
      <c r="D77" s="76">
        <v>65</v>
      </c>
      <c r="E77" s="1" t="s">
        <v>82</v>
      </c>
      <c r="G77" s="80"/>
      <c r="H77" s="80"/>
      <c r="I77" s="82"/>
      <c r="J77" s="83">
        <f t="shared" ref="J77:Q77" si="48">(I65+J65)/2</f>
        <v>52.875</v>
      </c>
      <c r="K77" s="83">
        <f t="shared" si="48"/>
        <v>56.625</v>
      </c>
      <c r="L77" s="83">
        <f t="shared" si="48"/>
        <v>60.375</v>
      </c>
      <c r="M77" s="83">
        <f t="shared" si="48"/>
        <v>64.125</v>
      </c>
      <c r="N77" s="83">
        <f t="shared" si="48"/>
        <v>67.875</v>
      </c>
      <c r="O77" s="83">
        <f t="shared" si="48"/>
        <v>71.625</v>
      </c>
      <c r="P77" s="83">
        <f t="shared" si="48"/>
        <v>75.375</v>
      </c>
      <c r="Q77" s="83">
        <f t="shared" si="48"/>
        <v>79.125</v>
      </c>
      <c r="R77" s="80"/>
      <c r="S77" s="80">
        <f>SUM(J74:Q74)</f>
        <v>100</v>
      </c>
      <c r="AD77" s="8">
        <v>0.86564905567487926</v>
      </c>
      <c r="AE77" s="84" t="s">
        <v>131</v>
      </c>
      <c r="AF77" s="8">
        <f>LINEST(Z67:Z74,Y67:Y74,1,0)</f>
        <v>0.86564905567490158</v>
      </c>
      <c r="AH77" s="1" t="s">
        <v>138</v>
      </c>
    </row>
    <row r="78" spans="1:35" ht="76.5" customHeight="1" x14ac:dyDescent="0.2">
      <c r="A78" s="55">
        <v>170</v>
      </c>
      <c r="B78" s="55">
        <v>67</v>
      </c>
      <c r="C78" s="76">
        <v>173</v>
      </c>
      <c r="D78" s="76">
        <v>71</v>
      </c>
      <c r="G78" s="80"/>
      <c r="H78" s="80">
        <v>1</v>
      </c>
      <c r="I78" s="85">
        <f t="shared" ref="I78:I85" si="49">(G66+H66)/2</f>
        <v>157.5</v>
      </c>
      <c r="J78" s="86">
        <v>0.03</v>
      </c>
      <c r="K78" s="80">
        <v>0.01</v>
      </c>
      <c r="L78" s="80">
        <f t="shared" ref="L78:Q78" si="50">L66/$S$78</f>
        <v>0.01</v>
      </c>
      <c r="M78" s="80">
        <f t="shared" si="50"/>
        <v>0</v>
      </c>
      <c r="N78" s="80">
        <f t="shared" si="50"/>
        <v>0</v>
      </c>
      <c r="O78" s="80">
        <f t="shared" si="50"/>
        <v>0</v>
      </c>
      <c r="P78" s="80">
        <f t="shared" si="50"/>
        <v>0</v>
      </c>
      <c r="Q78" s="80">
        <f t="shared" si="50"/>
        <v>0</v>
      </c>
      <c r="R78" s="87">
        <f t="shared" ref="R78:R85" si="51">SUM(J78:Q78)</f>
        <v>0.05</v>
      </c>
      <c r="S78" s="80">
        <f>SUM(J75:Q75)</f>
        <v>100</v>
      </c>
      <c r="T78" s="88"/>
      <c r="AH78" s="89" t="s">
        <v>139</v>
      </c>
    </row>
    <row r="79" spans="1:35" x14ac:dyDescent="0.2">
      <c r="A79" s="55">
        <v>168</v>
      </c>
      <c r="B79" s="55">
        <v>65</v>
      </c>
      <c r="C79" s="76">
        <v>173</v>
      </c>
      <c r="D79" s="76">
        <v>74</v>
      </c>
      <c r="G79" s="80"/>
      <c r="H79" s="80">
        <v>2</v>
      </c>
      <c r="I79" s="85">
        <f t="shared" si="49"/>
        <v>160.5</v>
      </c>
      <c r="J79" s="80">
        <v>0.01</v>
      </c>
      <c r="K79" s="80">
        <v>0.01</v>
      </c>
      <c r="L79" s="80">
        <v>0.01</v>
      </c>
      <c r="M79" s="80">
        <f>M67/$S$78</f>
        <v>0.01</v>
      </c>
      <c r="N79" s="80">
        <f>N67/$S$78</f>
        <v>0</v>
      </c>
      <c r="O79" s="80">
        <f>O67/$S$78</f>
        <v>0</v>
      </c>
      <c r="P79" s="80">
        <f>P67/$S$78</f>
        <v>0</v>
      </c>
      <c r="Q79" s="80">
        <f>Q67/$S$78</f>
        <v>0</v>
      </c>
      <c r="R79" s="87">
        <f t="shared" si="51"/>
        <v>0.04</v>
      </c>
      <c r="S79" s="80"/>
      <c r="T79" s="88"/>
    </row>
    <row r="80" spans="1:35" x14ac:dyDescent="0.2">
      <c r="A80" s="55">
        <v>172</v>
      </c>
      <c r="B80" s="55">
        <v>59</v>
      </c>
      <c r="C80" s="76">
        <v>173</v>
      </c>
      <c r="D80" s="76">
        <v>66</v>
      </c>
      <c r="G80" s="80"/>
      <c r="H80" s="80">
        <v>3</v>
      </c>
      <c r="I80" s="85">
        <f t="shared" si="49"/>
        <v>163.5</v>
      </c>
      <c r="J80" s="80">
        <v>0.02</v>
      </c>
      <c r="K80" s="80">
        <v>0.03</v>
      </c>
      <c r="L80" s="80">
        <v>0.05</v>
      </c>
      <c r="M80" s="80">
        <f>M68/$S$78</f>
        <v>0</v>
      </c>
      <c r="N80" s="80">
        <v>0.03</v>
      </c>
      <c r="O80" s="80">
        <f>O68/$S$78</f>
        <v>0</v>
      </c>
      <c r="P80" s="80">
        <f>P68/$S$78</f>
        <v>0</v>
      </c>
      <c r="Q80" s="80">
        <f>Q68/$S$78</f>
        <v>0</v>
      </c>
      <c r="R80" s="87">
        <f t="shared" si="51"/>
        <v>0.13</v>
      </c>
      <c r="S80" s="80"/>
      <c r="T80" s="88"/>
      <c r="AH80" s="1" t="s">
        <v>140</v>
      </c>
    </row>
    <row r="81" spans="1:34" x14ac:dyDescent="0.2">
      <c r="A81" s="55">
        <v>164</v>
      </c>
      <c r="B81" s="55">
        <v>60</v>
      </c>
      <c r="C81" s="76">
        <v>173</v>
      </c>
      <c r="D81" s="76">
        <v>66</v>
      </c>
      <c r="G81" s="80"/>
      <c r="H81" s="80">
        <v>4</v>
      </c>
      <c r="I81" s="85">
        <f t="shared" si="49"/>
        <v>166.5</v>
      </c>
      <c r="J81" s="80">
        <f>J69/$S$78</f>
        <v>0.01</v>
      </c>
      <c r="K81" s="80">
        <v>0.06</v>
      </c>
      <c r="L81" s="80">
        <v>7.0000000000000007E-2</v>
      </c>
      <c r="M81" s="80">
        <v>0.05</v>
      </c>
      <c r="N81" s="80">
        <v>0.02</v>
      </c>
      <c r="O81" s="80">
        <v>0.01</v>
      </c>
      <c r="P81" s="80">
        <f>P69/$S$78</f>
        <v>0</v>
      </c>
      <c r="Q81" s="80">
        <f>Q69/$S$78</f>
        <v>0</v>
      </c>
      <c r="R81" s="87">
        <f t="shared" si="51"/>
        <v>0.22</v>
      </c>
      <c r="S81" s="80"/>
      <c r="T81" s="88"/>
      <c r="AC81" s="1" t="s">
        <v>141</v>
      </c>
      <c r="AD81" s="1">
        <f>SQRT(1-AH76*AH76)</f>
        <v>0.18243722717314736</v>
      </c>
      <c r="AE81" s="90">
        <f>AH76*SQRT(100-2)</f>
        <v>9.7333566922133592</v>
      </c>
      <c r="AF81" s="1" t="s">
        <v>142</v>
      </c>
      <c r="AH81" s="8">
        <f>AH76*SQRT((100-2)/SQRT(1-AH76^2))</f>
        <v>22.787984088999931</v>
      </c>
    </row>
    <row r="82" spans="1:34" x14ac:dyDescent="0.2">
      <c r="A82" s="55">
        <v>178</v>
      </c>
      <c r="B82" s="55">
        <v>80</v>
      </c>
      <c r="C82" s="76">
        <v>173</v>
      </c>
      <c r="D82" s="76">
        <v>77</v>
      </c>
      <c r="G82" s="80"/>
      <c r="H82" s="80">
        <v>5</v>
      </c>
      <c r="I82" s="85">
        <f t="shared" si="49"/>
        <v>169.5</v>
      </c>
      <c r="J82" s="80">
        <f>J70/$S$78</f>
        <v>0</v>
      </c>
      <c r="K82" s="80">
        <v>0.02</v>
      </c>
      <c r="L82" s="80">
        <v>0.04</v>
      </c>
      <c r="M82" s="80">
        <v>7.0000000000000007E-2</v>
      </c>
      <c r="N82" s="80">
        <v>0.05</v>
      </c>
      <c r="O82" s="80">
        <f>O70/$S$78</f>
        <v>0</v>
      </c>
      <c r="P82" s="80">
        <f>P70/$S$78</f>
        <v>0</v>
      </c>
      <c r="Q82" s="80">
        <f>Q70/$S$78</f>
        <v>0</v>
      </c>
      <c r="R82" s="87">
        <f t="shared" si="51"/>
        <v>0.18</v>
      </c>
      <c r="S82" s="80"/>
      <c r="T82" s="88"/>
      <c r="AE82" s="5">
        <f>_xlfn.T.INV.2T(0.05,98)</f>
        <v>1.9844674545084788</v>
      </c>
      <c r="AH82" s="8">
        <f>_xlfn.T.INV.2T(0.05,98)</f>
        <v>1.9844674545084788</v>
      </c>
    </row>
    <row r="83" spans="1:34" x14ac:dyDescent="0.2">
      <c r="A83" s="55">
        <v>172</v>
      </c>
      <c r="B83" s="55">
        <v>73</v>
      </c>
      <c r="C83" s="76">
        <v>173</v>
      </c>
      <c r="D83" s="76">
        <v>63</v>
      </c>
      <c r="G83" s="80"/>
      <c r="H83" s="80">
        <v>6</v>
      </c>
      <c r="I83" s="85">
        <f t="shared" si="49"/>
        <v>172.5</v>
      </c>
      <c r="J83" s="80">
        <f>J71/$S$78</f>
        <v>0</v>
      </c>
      <c r="K83" s="80">
        <f>K71/$S$78</f>
        <v>0</v>
      </c>
      <c r="L83" s="80">
        <v>0.02</v>
      </c>
      <c r="M83" s="80">
        <v>0.08</v>
      </c>
      <c r="N83" s="80">
        <v>0.04</v>
      </c>
      <c r="O83" s="80">
        <v>0.05</v>
      </c>
      <c r="P83" s="80">
        <v>0.01</v>
      </c>
      <c r="Q83" s="80">
        <f>Q71/$S$78</f>
        <v>0.03</v>
      </c>
      <c r="R83" s="87">
        <f t="shared" si="51"/>
        <v>0.23</v>
      </c>
      <c r="S83" s="80"/>
      <c r="T83" s="88"/>
      <c r="AE83" s="91">
        <f>CORREL(A2:A101,B2:B101)</f>
        <v>0.68027872804630474</v>
      </c>
    </row>
    <row r="84" spans="1:34" x14ac:dyDescent="0.2">
      <c r="A84" s="55">
        <v>171</v>
      </c>
      <c r="B84" s="55">
        <v>65</v>
      </c>
      <c r="C84" s="76">
        <v>173</v>
      </c>
      <c r="D84" s="76">
        <v>72</v>
      </c>
      <c r="G84" s="80"/>
      <c r="H84" s="80">
        <v>7</v>
      </c>
      <c r="I84" s="85">
        <f t="shared" si="49"/>
        <v>175.5</v>
      </c>
      <c r="J84" s="80">
        <f>J72/$S$78</f>
        <v>0</v>
      </c>
      <c r="K84" s="80">
        <f>K72/$S$78</f>
        <v>0</v>
      </c>
      <c r="L84" s="80">
        <f>L72/$S$78</f>
        <v>0</v>
      </c>
      <c r="M84" s="80">
        <v>0.01</v>
      </c>
      <c r="N84" s="80">
        <v>0.01</v>
      </c>
      <c r="O84" s="80">
        <v>0.03</v>
      </c>
      <c r="P84" s="80">
        <v>0.03</v>
      </c>
      <c r="Q84" s="80">
        <f>Q72/$S$78</f>
        <v>0.01</v>
      </c>
      <c r="R84" s="87">
        <f t="shared" si="51"/>
        <v>0.09</v>
      </c>
      <c r="S84" s="80"/>
      <c r="T84" s="88"/>
    </row>
    <row r="85" spans="1:34" x14ac:dyDescent="0.2">
      <c r="A85" s="55">
        <v>167</v>
      </c>
      <c r="B85" s="55">
        <v>52</v>
      </c>
      <c r="C85" s="76">
        <v>173</v>
      </c>
      <c r="D85" s="76">
        <v>69</v>
      </c>
      <c r="G85" s="80"/>
      <c r="H85" s="80">
        <v>8</v>
      </c>
      <c r="I85" s="85">
        <f t="shared" si="49"/>
        <v>178.5</v>
      </c>
      <c r="J85" s="80">
        <f>J73/$S$78</f>
        <v>0</v>
      </c>
      <c r="K85" s="80">
        <f>K73/$S$78</f>
        <v>0</v>
      </c>
      <c r="L85" s="80">
        <v>0.01</v>
      </c>
      <c r="M85" s="80">
        <f>M73/$S$78</f>
        <v>0</v>
      </c>
      <c r="N85" s="80">
        <f>N73/$S$78</f>
        <v>0</v>
      </c>
      <c r="O85" s="80">
        <v>0.01</v>
      </c>
      <c r="P85" s="80">
        <v>0.02</v>
      </c>
      <c r="Q85" s="80">
        <v>0.02</v>
      </c>
      <c r="R85" s="87">
        <f t="shared" si="51"/>
        <v>0.06</v>
      </c>
      <c r="S85" s="80"/>
      <c r="T85" s="88"/>
    </row>
    <row r="86" spans="1:34" x14ac:dyDescent="0.2">
      <c r="A86" s="55">
        <v>170</v>
      </c>
      <c r="B86" s="55">
        <v>61</v>
      </c>
      <c r="C86" s="76">
        <v>174</v>
      </c>
      <c r="D86" s="76">
        <v>70</v>
      </c>
      <c r="E86" s="1" t="s">
        <v>83</v>
      </c>
      <c r="G86" s="80"/>
      <c r="H86" s="80"/>
      <c r="I86" s="92"/>
      <c r="J86" s="93">
        <f t="shared" ref="J86:Q86" si="52">SUM(J78:J85)</f>
        <v>6.9999999999999993E-2</v>
      </c>
      <c r="K86" s="94">
        <f t="shared" si="52"/>
        <v>0.13</v>
      </c>
      <c r="L86" s="94">
        <f t="shared" si="52"/>
        <v>0.21000000000000002</v>
      </c>
      <c r="M86" s="94">
        <f t="shared" si="52"/>
        <v>0.22000000000000003</v>
      </c>
      <c r="N86" s="94">
        <f t="shared" si="52"/>
        <v>0.15000000000000002</v>
      </c>
      <c r="O86" s="94">
        <f t="shared" si="52"/>
        <v>9.9999999999999992E-2</v>
      </c>
      <c r="P86" s="94">
        <f t="shared" si="52"/>
        <v>0.06</v>
      </c>
      <c r="Q86" s="94">
        <f t="shared" si="52"/>
        <v>0.06</v>
      </c>
      <c r="R86" s="80"/>
      <c r="S86" s="80"/>
      <c r="T86" s="88"/>
    </row>
    <row r="87" spans="1:34" x14ac:dyDescent="0.2">
      <c r="A87" s="55">
        <v>170</v>
      </c>
      <c r="B87" s="55">
        <v>61</v>
      </c>
      <c r="C87" s="76">
        <v>174</v>
      </c>
      <c r="D87" s="76">
        <v>79</v>
      </c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8"/>
    </row>
    <row r="88" spans="1:34" x14ac:dyDescent="0.2">
      <c r="A88" s="55">
        <v>167</v>
      </c>
      <c r="B88" s="55">
        <v>57</v>
      </c>
      <c r="C88" s="76">
        <v>174</v>
      </c>
      <c r="D88" s="76">
        <v>68</v>
      </c>
      <c r="G88" s="80"/>
      <c r="H88" s="80"/>
      <c r="I88" s="80">
        <v>1</v>
      </c>
      <c r="J88" s="95">
        <f t="shared" ref="J88:Q88" si="53">$I$78*J77*J78</f>
        <v>249.83437499999999</v>
      </c>
      <c r="K88" s="95">
        <f t="shared" si="53"/>
        <v>89.184375000000003</v>
      </c>
      <c r="L88" s="95">
        <f t="shared" si="53"/>
        <v>95.090625000000003</v>
      </c>
      <c r="M88" s="95">
        <f t="shared" si="53"/>
        <v>0</v>
      </c>
      <c r="N88" s="95">
        <f t="shared" si="53"/>
        <v>0</v>
      </c>
      <c r="O88" s="95">
        <f t="shared" si="53"/>
        <v>0</v>
      </c>
      <c r="P88" s="95">
        <f t="shared" si="53"/>
        <v>0</v>
      </c>
      <c r="Q88" s="95">
        <f t="shared" si="53"/>
        <v>0</v>
      </c>
      <c r="R88" s="96">
        <f t="shared" ref="R88:R96" si="54">SUM(J88:Q88)</f>
        <v>434.109375</v>
      </c>
      <c r="S88" s="80"/>
      <c r="T88" s="88"/>
    </row>
    <row r="89" spans="1:34" x14ac:dyDescent="0.2">
      <c r="A89" s="55">
        <v>171</v>
      </c>
      <c r="B89" s="55">
        <v>63</v>
      </c>
      <c r="C89" s="97">
        <v>175</v>
      </c>
      <c r="D89" s="97">
        <v>64</v>
      </c>
      <c r="G89" s="80"/>
      <c r="H89" s="80"/>
      <c r="I89" s="80">
        <v>2</v>
      </c>
      <c r="J89" s="95">
        <f t="shared" ref="J89:Q89" si="55">$I$79*J77*J79</f>
        <v>84.864374999999995</v>
      </c>
      <c r="K89" s="95">
        <f t="shared" si="55"/>
        <v>90.883125000000007</v>
      </c>
      <c r="L89" s="95">
        <f t="shared" si="55"/>
        <v>96.901875000000004</v>
      </c>
      <c r="M89" s="95">
        <f t="shared" si="55"/>
        <v>102.920625</v>
      </c>
      <c r="N89" s="95">
        <f t="shared" si="55"/>
        <v>0</v>
      </c>
      <c r="O89" s="95">
        <f t="shared" si="55"/>
        <v>0</v>
      </c>
      <c r="P89" s="95">
        <f t="shared" si="55"/>
        <v>0</v>
      </c>
      <c r="Q89" s="95">
        <f t="shared" si="55"/>
        <v>0</v>
      </c>
      <c r="R89" s="96">
        <f t="shared" si="54"/>
        <v>375.57000000000005</v>
      </c>
      <c r="S89" s="80"/>
      <c r="T89" s="88"/>
    </row>
    <row r="90" spans="1:34" x14ac:dyDescent="0.2">
      <c r="A90" s="55">
        <v>168</v>
      </c>
      <c r="B90" s="55">
        <v>58</v>
      </c>
      <c r="C90" s="97">
        <v>175</v>
      </c>
      <c r="D90" s="97">
        <v>66</v>
      </c>
      <c r="G90" s="80"/>
      <c r="H90" s="80"/>
      <c r="I90" s="80">
        <v>3</v>
      </c>
      <c r="J90" s="95">
        <f t="shared" ref="J90:Q90" si="56">$I$80*J80*J77</f>
        <v>172.90125</v>
      </c>
      <c r="K90" s="95">
        <f t="shared" si="56"/>
        <v>277.74562500000002</v>
      </c>
      <c r="L90" s="95">
        <f t="shared" si="56"/>
        <v>493.56562500000007</v>
      </c>
      <c r="M90" s="95">
        <f t="shared" si="56"/>
        <v>0</v>
      </c>
      <c r="N90" s="95">
        <f t="shared" si="56"/>
        <v>332.926875</v>
      </c>
      <c r="O90" s="95">
        <f t="shared" si="56"/>
        <v>0</v>
      </c>
      <c r="P90" s="95">
        <f t="shared" si="56"/>
        <v>0</v>
      </c>
      <c r="Q90" s="95">
        <f t="shared" si="56"/>
        <v>0</v>
      </c>
      <c r="R90" s="96">
        <f t="shared" si="54"/>
        <v>1277.1393750000002</v>
      </c>
      <c r="S90" s="80"/>
      <c r="T90" s="88"/>
    </row>
    <row r="91" spans="1:34" x14ac:dyDescent="0.2">
      <c r="A91" s="55">
        <v>173</v>
      </c>
      <c r="B91" s="55">
        <v>63</v>
      </c>
      <c r="C91" s="97">
        <v>176</v>
      </c>
      <c r="D91" s="97">
        <v>81</v>
      </c>
      <c r="G91" s="80"/>
      <c r="H91" s="80"/>
      <c r="I91" s="80">
        <v>4</v>
      </c>
      <c r="J91" s="95">
        <f t="shared" ref="J91:Q91" si="57">$I$81*J81*J77</f>
        <v>88.036874999999995</v>
      </c>
      <c r="K91" s="95">
        <f t="shared" si="57"/>
        <v>565.68375000000003</v>
      </c>
      <c r="L91" s="95">
        <f t="shared" si="57"/>
        <v>703.67062500000009</v>
      </c>
      <c r="M91" s="95">
        <f t="shared" si="57"/>
        <v>533.84062500000005</v>
      </c>
      <c r="N91" s="95">
        <f t="shared" si="57"/>
        <v>226.02375000000001</v>
      </c>
      <c r="O91" s="95">
        <f t="shared" si="57"/>
        <v>119.25562500000001</v>
      </c>
      <c r="P91" s="95">
        <f t="shared" si="57"/>
        <v>0</v>
      </c>
      <c r="Q91" s="95">
        <f t="shared" si="57"/>
        <v>0</v>
      </c>
      <c r="R91" s="96">
        <f t="shared" si="54"/>
        <v>2236.5112500000005</v>
      </c>
      <c r="S91" s="80"/>
      <c r="T91" s="88"/>
    </row>
    <row r="92" spans="1:34" x14ac:dyDescent="0.2">
      <c r="A92" s="55">
        <v>173</v>
      </c>
      <c r="B92" s="55">
        <v>72</v>
      </c>
      <c r="C92" s="97">
        <v>176</v>
      </c>
      <c r="D92" s="97">
        <v>77</v>
      </c>
      <c r="G92" s="80"/>
      <c r="H92" s="80"/>
      <c r="I92" s="80">
        <v>5</v>
      </c>
      <c r="J92" s="95">
        <f t="shared" ref="J92:Q92" si="58">$I$82*J82*J77</f>
        <v>0</v>
      </c>
      <c r="K92" s="95">
        <f t="shared" si="58"/>
        <v>191.95875000000001</v>
      </c>
      <c r="L92" s="95">
        <f t="shared" si="58"/>
        <v>409.34250000000003</v>
      </c>
      <c r="M92" s="95">
        <f t="shared" si="58"/>
        <v>760.8431250000001</v>
      </c>
      <c r="N92" s="95">
        <f t="shared" si="58"/>
        <v>575.24062500000002</v>
      </c>
      <c r="O92" s="95">
        <f t="shared" si="58"/>
        <v>0</v>
      </c>
      <c r="P92" s="95">
        <f t="shared" si="58"/>
        <v>0</v>
      </c>
      <c r="Q92" s="95">
        <f t="shared" si="58"/>
        <v>0</v>
      </c>
      <c r="R92" s="96">
        <f t="shared" si="54"/>
        <v>1937.3850000000002</v>
      </c>
      <c r="S92" s="80"/>
      <c r="T92" s="88"/>
    </row>
    <row r="93" spans="1:34" x14ac:dyDescent="0.2">
      <c r="A93" s="55">
        <v>170</v>
      </c>
      <c r="B93" s="55">
        <v>65</v>
      </c>
      <c r="C93" s="97">
        <v>176</v>
      </c>
      <c r="D93" s="97">
        <v>65</v>
      </c>
      <c r="E93" s="1" t="s">
        <v>84</v>
      </c>
      <c r="G93" s="80"/>
      <c r="H93" s="80"/>
      <c r="I93" s="80">
        <v>6</v>
      </c>
      <c r="J93" s="95">
        <f t="shared" ref="J93:Q93" si="59">$I$83*J83*J77</f>
        <v>0</v>
      </c>
      <c r="K93" s="95">
        <f t="shared" si="59"/>
        <v>0</v>
      </c>
      <c r="L93" s="95">
        <f t="shared" si="59"/>
        <v>208.29375000000002</v>
      </c>
      <c r="M93" s="95">
        <f t="shared" si="59"/>
        <v>884.92500000000007</v>
      </c>
      <c r="N93" s="95">
        <f t="shared" si="59"/>
        <v>468.33750000000003</v>
      </c>
      <c r="O93" s="95">
        <f t="shared" si="59"/>
        <v>617.765625</v>
      </c>
      <c r="P93" s="95">
        <f t="shared" si="59"/>
        <v>130.02187499999999</v>
      </c>
      <c r="Q93" s="95">
        <f t="shared" si="59"/>
        <v>409.47187500000001</v>
      </c>
      <c r="R93" s="96">
        <f t="shared" si="54"/>
        <v>2718.8156250000002</v>
      </c>
      <c r="S93" s="80"/>
      <c r="T93" s="88"/>
    </row>
    <row r="94" spans="1:34" x14ac:dyDescent="0.2">
      <c r="A94" s="55">
        <v>172</v>
      </c>
      <c r="B94" s="55">
        <v>70</v>
      </c>
      <c r="C94" s="97">
        <v>176</v>
      </c>
      <c r="D94" s="97">
        <v>70</v>
      </c>
      <c r="E94" s="1" t="s">
        <v>85</v>
      </c>
      <c r="G94" s="80"/>
      <c r="H94" s="80"/>
      <c r="I94" s="80">
        <v>7</v>
      </c>
      <c r="J94" s="95">
        <f t="shared" ref="J94:Q94" si="60">$I$84*J84*J77</f>
        <v>0</v>
      </c>
      <c r="K94" s="95">
        <f t="shared" si="60"/>
        <v>0</v>
      </c>
      <c r="L94" s="95">
        <f t="shared" si="60"/>
        <v>0</v>
      </c>
      <c r="M94" s="95">
        <f t="shared" si="60"/>
        <v>112.53937500000001</v>
      </c>
      <c r="N94" s="95">
        <f t="shared" si="60"/>
        <v>119.120625</v>
      </c>
      <c r="O94" s="95">
        <f t="shared" si="60"/>
        <v>377.10562499999997</v>
      </c>
      <c r="P94" s="95">
        <f t="shared" si="60"/>
        <v>396.84937499999995</v>
      </c>
      <c r="Q94" s="95">
        <f t="shared" si="60"/>
        <v>138.864375</v>
      </c>
      <c r="R94" s="96">
        <f t="shared" si="54"/>
        <v>1144.4793749999999</v>
      </c>
      <c r="S94" s="80"/>
      <c r="T94" s="88"/>
    </row>
    <row r="95" spans="1:34" x14ac:dyDescent="0.2">
      <c r="A95" s="55">
        <v>162</v>
      </c>
      <c r="B95" s="55">
        <v>56</v>
      </c>
      <c r="C95" s="97">
        <v>176</v>
      </c>
      <c r="D95" s="97">
        <v>70</v>
      </c>
      <c r="G95" s="80"/>
      <c r="H95" s="80"/>
      <c r="I95" s="80">
        <v>8</v>
      </c>
      <c r="J95" s="95">
        <f t="shared" ref="J95:Q95" si="61">$I$85*J85*J77</f>
        <v>0</v>
      </c>
      <c r="K95" s="95">
        <f t="shared" si="61"/>
        <v>0</v>
      </c>
      <c r="L95" s="95">
        <f t="shared" si="61"/>
        <v>107.76937500000001</v>
      </c>
      <c r="M95" s="95">
        <f t="shared" si="61"/>
        <v>0</v>
      </c>
      <c r="N95" s="95">
        <f t="shared" si="61"/>
        <v>0</v>
      </c>
      <c r="O95" s="95">
        <f t="shared" si="61"/>
        <v>127.85062500000001</v>
      </c>
      <c r="P95" s="95">
        <f t="shared" si="61"/>
        <v>269.08875</v>
      </c>
      <c r="Q95" s="95">
        <f t="shared" si="61"/>
        <v>282.47625000000005</v>
      </c>
      <c r="R95" s="96">
        <f t="shared" si="54"/>
        <v>787.18500000000006</v>
      </c>
      <c r="S95" s="80"/>
      <c r="T95" s="88"/>
    </row>
    <row r="96" spans="1:34" x14ac:dyDescent="0.2">
      <c r="A96" s="55">
        <v>171</v>
      </c>
      <c r="B96" s="55">
        <v>63</v>
      </c>
      <c r="C96" s="97">
        <v>177</v>
      </c>
      <c r="D96" s="97">
        <v>70</v>
      </c>
      <c r="G96" s="80"/>
      <c r="H96" s="80"/>
      <c r="I96" s="80"/>
      <c r="J96" s="96">
        <f t="shared" ref="J96:Q96" si="62">SUM(J88:J95)</f>
        <v>595.63687500000003</v>
      </c>
      <c r="K96" s="96">
        <f t="shared" si="62"/>
        <v>1215.4556250000001</v>
      </c>
      <c r="L96" s="96">
        <f t="shared" si="62"/>
        <v>2114.6343750000001</v>
      </c>
      <c r="M96" s="96">
        <f t="shared" si="62"/>
        <v>2395.0687499999999</v>
      </c>
      <c r="N96" s="96">
        <f t="shared" si="62"/>
        <v>1721.649375</v>
      </c>
      <c r="O96" s="96">
        <f t="shared" si="62"/>
        <v>1241.9775</v>
      </c>
      <c r="P96" s="96">
        <f t="shared" si="62"/>
        <v>795.95999999999992</v>
      </c>
      <c r="Q96" s="96">
        <f t="shared" si="62"/>
        <v>830.81250000000011</v>
      </c>
      <c r="R96" s="96">
        <f t="shared" si="54"/>
        <v>10911.195</v>
      </c>
      <c r="S96" s="80" t="s">
        <v>86</v>
      </c>
      <c r="T96" s="88"/>
    </row>
    <row r="97" spans="1:20" x14ac:dyDescent="0.2">
      <c r="A97" s="55">
        <v>173</v>
      </c>
      <c r="B97" s="55">
        <v>69</v>
      </c>
      <c r="C97" s="98">
        <v>178</v>
      </c>
      <c r="D97" s="98">
        <v>80</v>
      </c>
      <c r="E97" s="1" t="s">
        <v>87</v>
      </c>
      <c r="G97" s="80" t="s">
        <v>88</v>
      </c>
      <c r="H97" s="80"/>
      <c r="I97" s="80"/>
      <c r="J97" s="80" t="s">
        <v>89</v>
      </c>
      <c r="K97" s="80"/>
      <c r="L97" s="80"/>
      <c r="M97" s="80" t="s">
        <v>90</v>
      </c>
      <c r="N97" s="80"/>
      <c r="O97" s="80"/>
      <c r="P97" s="80"/>
      <c r="Q97" s="80"/>
      <c r="R97" s="80"/>
      <c r="S97" s="80"/>
      <c r="T97" s="88"/>
    </row>
    <row r="98" spans="1:20" x14ac:dyDescent="0.2">
      <c r="A98" s="55">
        <v>156</v>
      </c>
      <c r="B98" s="55">
        <v>54</v>
      </c>
      <c r="C98" s="98">
        <v>178</v>
      </c>
      <c r="D98" s="98">
        <v>60</v>
      </c>
      <c r="E98" s="1" t="s">
        <v>91</v>
      </c>
      <c r="G98" s="80" t="s">
        <v>1</v>
      </c>
      <c r="H98" s="99">
        <f t="shared" ref="H98:O98" si="63">J77</f>
        <v>52.875</v>
      </c>
      <c r="I98" s="99">
        <f t="shared" si="63"/>
        <v>56.625</v>
      </c>
      <c r="J98" s="99">
        <f t="shared" si="63"/>
        <v>60.375</v>
      </c>
      <c r="K98" s="99">
        <f t="shared" si="63"/>
        <v>64.125</v>
      </c>
      <c r="L98" s="99">
        <f t="shared" si="63"/>
        <v>67.875</v>
      </c>
      <c r="M98" s="99">
        <f t="shared" si="63"/>
        <v>71.625</v>
      </c>
      <c r="N98" s="99">
        <f t="shared" si="63"/>
        <v>75.375</v>
      </c>
      <c r="O98" s="99">
        <f t="shared" si="63"/>
        <v>79.125</v>
      </c>
      <c r="P98" s="80"/>
      <c r="Q98" s="80"/>
      <c r="R98" s="80"/>
      <c r="S98" s="80"/>
      <c r="T98" s="88"/>
    </row>
    <row r="99" spans="1:20" x14ac:dyDescent="0.2">
      <c r="A99" s="55">
        <v>168</v>
      </c>
      <c r="B99" s="55">
        <v>70</v>
      </c>
      <c r="C99" s="98">
        <v>178</v>
      </c>
      <c r="D99" s="98">
        <v>71</v>
      </c>
      <c r="E99" s="1" t="s">
        <v>92</v>
      </c>
      <c r="G99" s="80" t="s">
        <v>93</v>
      </c>
      <c r="H99" s="100">
        <f t="shared" ref="H99:O99" si="64">J86</f>
        <v>6.9999999999999993E-2</v>
      </c>
      <c r="I99" s="100">
        <f t="shared" si="64"/>
        <v>0.13</v>
      </c>
      <c r="J99" s="100">
        <f t="shared" si="64"/>
        <v>0.21000000000000002</v>
      </c>
      <c r="K99" s="100">
        <f t="shared" si="64"/>
        <v>0.22000000000000003</v>
      </c>
      <c r="L99" s="100">
        <f t="shared" si="64"/>
        <v>0.15000000000000002</v>
      </c>
      <c r="M99" s="100">
        <f t="shared" si="64"/>
        <v>9.9999999999999992E-2</v>
      </c>
      <c r="N99" s="100">
        <f t="shared" si="64"/>
        <v>0.06</v>
      </c>
      <c r="O99" s="100">
        <f t="shared" si="64"/>
        <v>0.06</v>
      </c>
      <c r="P99" s="80"/>
      <c r="Q99" s="80"/>
      <c r="R99" s="80"/>
      <c r="S99" s="80"/>
      <c r="T99" s="88"/>
    </row>
    <row r="100" spans="1:20" x14ac:dyDescent="0.2">
      <c r="A100" s="55">
        <v>176</v>
      </c>
      <c r="B100" s="55">
        <v>70</v>
      </c>
      <c r="C100" s="98">
        <v>178</v>
      </c>
      <c r="D100" s="98">
        <v>80</v>
      </c>
      <c r="G100" s="80"/>
      <c r="H100" s="99">
        <f t="shared" ref="H100:O100" si="65">H98*H99</f>
        <v>3.7012499999999995</v>
      </c>
      <c r="I100" s="99">
        <f t="shared" si="65"/>
        <v>7.3612500000000001</v>
      </c>
      <c r="J100" s="99">
        <f t="shared" si="65"/>
        <v>12.678750000000001</v>
      </c>
      <c r="K100" s="99">
        <f t="shared" si="65"/>
        <v>14.107500000000002</v>
      </c>
      <c r="L100" s="99">
        <f t="shared" si="65"/>
        <v>10.181250000000002</v>
      </c>
      <c r="M100" s="99">
        <f t="shared" si="65"/>
        <v>7.1624999999999996</v>
      </c>
      <c r="N100" s="99">
        <f t="shared" si="65"/>
        <v>4.5225</v>
      </c>
      <c r="O100" s="99">
        <f t="shared" si="65"/>
        <v>4.7474999999999996</v>
      </c>
      <c r="P100" s="80">
        <f>SUM(H100:O100)</f>
        <v>64.462500000000006</v>
      </c>
      <c r="Q100" s="80" t="s">
        <v>94</v>
      </c>
      <c r="R100" s="80"/>
      <c r="S100" s="80"/>
      <c r="T100" s="88"/>
    </row>
    <row r="101" spans="1:20" x14ac:dyDescent="0.2">
      <c r="A101" s="55">
        <v>164</v>
      </c>
      <c r="B101" s="55">
        <v>57</v>
      </c>
      <c r="C101" s="98">
        <v>180</v>
      </c>
      <c r="D101" s="98">
        <v>73</v>
      </c>
      <c r="E101" s="1" t="s">
        <v>95</v>
      </c>
      <c r="G101" s="80"/>
      <c r="H101" s="99">
        <f t="shared" ref="H101:O101" si="66">H100*H98</f>
        <v>195.70359374999998</v>
      </c>
      <c r="I101" s="99">
        <f t="shared" si="66"/>
        <v>416.83078125000003</v>
      </c>
      <c r="J101" s="99">
        <f t="shared" si="66"/>
        <v>765.47953125000004</v>
      </c>
      <c r="K101" s="99">
        <f t="shared" si="66"/>
        <v>904.64343750000012</v>
      </c>
      <c r="L101" s="99">
        <f t="shared" si="66"/>
        <v>691.05234375000009</v>
      </c>
      <c r="M101" s="99">
        <f t="shared" si="66"/>
        <v>513.01406250000002</v>
      </c>
      <c r="N101" s="99">
        <f t="shared" si="66"/>
        <v>340.88343750000001</v>
      </c>
      <c r="O101" s="99">
        <f t="shared" si="66"/>
        <v>375.64593749999995</v>
      </c>
      <c r="P101" s="80">
        <f>SUM(H101:O101)</f>
        <v>4203.2531250000002</v>
      </c>
      <c r="Q101" s="80" t="s">
        <v>96</v>
      </c>
      <c r="R101" s="80"/>
      <c r="S101" s="80"/>
      <c r="T101" s="88"/>
    </row>
    <row r="102" spans="1:20" x14ac:dyDescent="0.2">
      <c r="A102" s="101"/>
      <c r="G102" s="80" t="s">
        <v>97</v>
      </c>
      <c r="H102" s="80"/>
      <c r="I102" s="80"/>
      <c r="J102" s="80">
        <f>(R96-Q108*P100)/(Q111*R102)</f>
        <v>0.70875902887223252</v>
      </c>
      <c r="K102" s="80"/>
      <c r="L102" s="80" t="s">
        <v>98</v>
      </c>
      <c r="M102" s="80">
        <f>J102*R102/Q111</f>
        <v>0.94565290197267149</v>
      </c>
      <c r="N102" s="80"/>
      <c r="O102" s="80"/>
      <c r="P102" s="80">
        <f>-P100*P100+P101</f>
        <v>47.839218749999418</v>
      </c>
      <c r="Q102" s="80" t="s">
        <v>99</v>
      </c>
      <c r="R102" s="80">
        <f>P102^0.5</f>
        <v>6.9165901100180438</v>
      </c>
      <c r="S102" s="80" t="s">
        <v>100</v>
      </c>
      <c r="T102" s="88"/>
    </row>
    <row r="103" spans="1:20" x14ac:dyDescent="0.2">
      <c r="A103" s="102"/>
      <c r="G103" s="80"/>
      <c r="H103" s="80" t="s">
        <v>143</v>
      </c>
      <c r="I103" s="80">
        <f>M102</f>
        <v>0.94565290197267149</v>
      </c>
      <c r="J103" s="80" t="s">
        <v>144</v>
      </c>
      <c r="K103" s="80">
        <f>P100-M102*J27</f>
        <v>-94.832731337296536</v>
      </c>
      <c r="L103" s="80"/>
      <c r="M103" s="80"/>
      <c r="N103" s="80"/>
      <c r="O103" s="80"/>
      <c r="P103" s="80"/>
      <c r="Q103" s="80"/>
      <c r="R103" s="80"/>
      <c r="S103" s="80"/>
      <c r="T103" s="88"/>
    </row>
    <row r="104" spans="1:20" x14ac:dyDescent="0.2">
      <c r="A104" s="102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8"/>
    </row>
    <row r="105" spans="1:20" x14ac:dyDescent="0.2">
      <c r="G105" s="80"/>
      <c r="H105" s="80"/>
      <c r="I105" s="80" t="s">
        <v>101</v>
      </c>
      <c r="J105" s="80"/>
      <c r="K105" s="80"/>
      <c r="L105" s="80" t="s">
        <v>102</v>
      </c>
      <c r="M105" s="80"/>
      <c r="N105" s="80"/>
      <c r="O105" s="80"/>
      <c r="P105" s="80"/>
      <c r="Q105" s="80"/>
      <c r="R105" s="80"/>
      <c r="S105" s="80"/>
      <c r="T105" s="88"/>
    </row>
    <row r="106" spans="1:20" x14ac:dyDescent="0.2">
      <c r="G106" s="80"/>
      <c r="H106" s="80" t="s">
        <v>103</v>
      </c>
      <c r="I106" s="85">
        <f>I78</f>
        <v>157.5</v>
      </c>
      <c r="J106" s="85">
        <f>I79</f>
        <v>160.5</v>
      </c>
      <c r="K106" s="85">
        <f>I80</f>
        <v>163.5</v>
      </c>
      <c r="L106" s="85">
        <f>I81</f>
        <v>166.5</v>
      </c>
      <c r="M106" s="85">
        <f>I82</f>
        <v>169.5</v>
      </c>
      <c r="N106" s="85">
        <f>I83</f>
        <v>172.5</v>
      </c>
      <c r="O106" s="85">
        <f>I84</f>
        <v>175.5</v>
      </c>
      <c r="P106" s="85">
        <f>I85</f>
        <v>178.5</v>
      </c>
      <c r="Q106" s="103"/>
      <c r="R106" s="80"/>
      <c r="S106" s="80"/>
      <c r="T106" s="88"/>
    </row>
    <row r="107" spans="1:20" x14ac:dyDescent="0.2">
      <c r="H107" s="88" t="s">
        <v>93</v>
      </c>
      <c r="I107" s="104">
        <f>R78</f>
        <v>0.05</v>
      </c>
      <c r="J107" s="104">
        <f>R79</f>
        <v>0.04</v>
      </c>
      <c r="K107" s="104">
        <f>R80</f>
        <v>0.13</v>
      </c>
      <c r="L107" s="104">
        <f>R81</f>
        <v>0.22</v>
      </c>
      <c r="M107" s="104">
        <f>R82</f>
        <v>0.18</v>
      </c>
      <c r="N107" s="104">
        <f>R83</f>
        <v>0.23</v>
      </c>
      <c r="O107" s="104">
        <f>R84</f>
        <v>0.09</v>
      </c>
      <c r="P107" s="104">
        <f>R85</f>
        <v>0.06</v>
      </c>
      <c r="Q107" s="105"/>
      <c r="R107" s="88"/>
      <c r="S107" s="88"/>
      <c r="T107" s="88"/>
    </row>
    <row r="108" spans="1:20" x14ac:dyDescent="0.2">
      <c r="H108" s="88"/>
      <c r="I108" s="105">
        <f t="shared" ref="I108:P108" si="67">I106*I107</f>
        <v>7.875</v>
      </c>
      <c r="J108" s="105">
        <f t="shared" si="67"/>
        <v>6.42</v>
      </c>
      <c r="K108" s="105">
        <f t="shared" si="67"/>
        <v>21.254999999999999</v>
      </c>
      <c r="L108" s="105">
        <f t="shared" si="67"/>
        <v>36.630000000000003</v>
      </c>
      <c r="M108" s="105">
        <f t="shared" si="67"/>
        <v>30.509999999999998</v>
      </c>
      <c r="N108" s="105">
        <f t="shared" si="67"/>
        <v>39.675000000000004</v>
      </c>
      <c r="O108" s="105">
        <f t="shared" si="67"/>
        <v>15.795</v>
      </c>
      <c r="P108" s="105">
        <f t="shared" si="67"/>
        <v>10.709999999999999</v>
      </c>
      <c r="Q108" s="104">
        <f>SUM(I108:P108)</f>
        <v>168.87</v>
      </c>
      <c r="R108" s="88" t="s">
        <v>104</v>
      </c>
      <c r="S108" s="88"/>
      <c r="T108" s="88"/>
    </row>
    <row r="109" spans="1:20" ht="14.25" x14ac:dyDescent="0.2">
      <c r="H109" s="88"/>
      <c r="I109" s="105">
        <f t="shared" ref="I109:P109" si="68">I108*I106</f>
        <v>1240.3125</v>
      </c>
      <c r="J109" s="105">
        <f t="shared" si="68"/>
        <v>1030.4100000000001</v>
      </c>
      <c r="K109" s="105">
        <f t="shared" si="68"/>
        <v>3475.1924999999997</v>
      </c>
      <c r="L109" s="105">
        <f t="shared" si="68"/>
        <v>6098.8950000000004</v>
      </c>
      <c r="M109" s="105">
        <f t="shared" si="68"/>
        <v>5171.4449999999997</v>
      </c>
      <c r="N109" s="105">
        <f t="shared" si="68"/>
        <v>6843.9375000000009</v>
      </c>
      <c r="O109" s="105">
        <f t="shared" si="68"/>
        <v>2772.0225</v>
      </c>
      <c r="P109" s="105">
        <f t="shared" si="68"/>
        <v>1911.7349999999999</v>
      </c>
      <c r="Q109" s="105">
        <f>SUM(I109:P109)</f>
        <v>28543.949999999997</v>
      </c>
      <c r="R109" s="88" t="s">
        <v>105</v>
      </c>
      <c r="S109" s="88"/>
      <c r="T109" s="88"/>
    </row>
    <row r="110" spans="1:20" x14ac:dyDescent="0.2">
      <c r="H110" s="88"/>
      <c r="I110" s="105"/>
      <c r="J110" s="105"/>
      <c r="K110" s="105"/>
      <c r="L110" s="105"/>
      <c r="M110" s="105"/>
      <c r="N110" s="105"/>
      <c r="O110" s="105"/>
      <c r="P110" s="105"/>
      <c r="Q110" s="105">
        <f>-Q108*Q108+Q109</f>
        <v>26.873099999997066</v>
      </c>
      <c r="R110" s="88" t="s">
        <v>106</v>
      </c>
      <c r="S110" s="88"/>
      <c r="T110" s="88"/>
    </row>
    <row r="111" spans="1:20" x14ac:dyDescent="0.2">
      <c r="H111" s="88"/>
      <c r="I111" s="105"/>
      <c r="J111" s="105"/>
      <c r="K111" s="105"/>
      <c r="L111" s="105"/>
      <c r="M111" s="105"/>
      <c r="N111" s="105"/>
      <c r="O111" s="105"/>
      <c r="P111" s="105"/>
      <c r="Q111" s="106">
        <f>Q110^0.5</f>
        <v>5.1839270828202304</v>
      </c>
      <c r="R111" s="88" t="s">
        <v>107</v>
      </c>
      <c r="S111" s="88"/>
      <c r="T111" s="88"/>
    </row>
    <row r="112" spans="1:20" x14ac:dyDescent="0.2"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</row>
    <row r="113" spans="8:20" x14ac:dyDescent="0.2"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</row>
    <row r="114" spans="8:20" x14ac:dyDescent="0.2"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</row>
    <row r="115" spans="8:20" x14ac:dyDescent="0.2"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</row>
    <row r="116" spans="8:20" x14ac:dyDescent="0.2"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</row>
    <row r="117" spans="8:20" x14ac:dyDescent="0.2"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</row>
    <row r="118" spans="8:20" x14ac:dyDescent="0.2">
      <c r="H118" s="88"/>
      <c r="I118" s="88" t="s">
        <v>108</v>
      </c>
      <c r="J118" s="88"/>
      <c r="K118" s="107">
        <f>8/65</f>
        <v>0.12307692307692308</v>
      </c>
      <c r="L118" s="88">
        <f>1/13</f>
        <v>7.6923076923076927E-2</v>
      </c>
      <c r="M118" s="88"/>
      <c r="N118" s="88"/>
      <c r="O118" s="88"/>
      <c r="P118" s="88"/>
      <c r="Q118" s="88"/>
      <c r="R118" s="88"/>
      <c r="S118" s="88"/>
      <c r="T118" s="88"/>
    </row>
    <row r="119" spans="8:20" x14ac:dyDescent="0.2">
      <c r="H119" s="88" t="s">
        <v>0</v>
      </c>
      <c r="I119" s="88">
        <v>0</v>
      </c>
      <c r="J119" s="88">
        <v>1</v>
      </c>
      <c r="K119" s="88">
        <v>2</v>
      </c>
      <c r="L119" s="88">
        <v>3</v>
      </c>
      <c r="M119" s="88"/>
      <c r="N119" s="88"/>
      <c r="O119" s="88"/>
      <c r="P119" s="88"/>
      <c r="Q119" s="88"/>
      <c r="R119" s="88"/>
      <c r="S119" s="88"/>
      <c r="T119" s="88"/>
    </row>
    <row r="120" spans="8:20" x14ac:dyDescent="0.2">
      <c r="H120" s="88" t="s">
        <v>93</v>
      </c>
      <c r="I120" s="106">
        <f>COMBIN(7,0)*COMBIN(8,3)/COMBIN(15,3)</f>
        <v>0.12307692307692306</v>
      </c>
      <c r="J120" s="106">
        <f>COMBIN(7,1)*COMBIN(8,2)/COMBIN(15,3)</f>
        <v>0.43076923076923074</v>
      </c>
      <c r="K120" s="106">
        <f>COMBIN(7,2)*COMBIN(8,1)/COMBIN(15,3)</f>
        <v>0.3692307692307692</v>
      </c>
      <c r="L120" s="106">
        <f>COMBIN(7,3)*COMBIN(8,0)/COMBIN(15,3)</f>
        <v>7.6923076923076913E-2</v>
      </c>
      <c r="M120" s="88"/>
      <c r="N120" s="88">
        <f>SUM(I120:M120)</f>
        <v>0.99999999999999978</v>
      </c>
      <c r="O120" s="88"/>
      <c r="P120" s="88"/>
      <c r="Q120" s="88"/>
      <c r="R120" s="88"/>
      <c r="S120" s="88"/>
      <c r="T120" s="88"/>
    </row>
    <row r="121" spans="8:20" x14ac:dyDescent="0.2">
      <c r="H121" s="88"/>
      <c r="I121" s="106">
        <f>I120*I119</f>
        <v>0</v>
      </c>
      <c r="J121" s="106">
        <f>J120*J119</f>
        <v>0.43076923076923074</v>
      </c>
      <c r="K121" s="106">
        <f>K120*K119</f>
        <v>0.73846153846153839</v>
      </c>
      <c r="L121" s="106">
        <f>L120*L119</f>
        <v>0.23076923076923073</v>
      </c>
      <c r="M121" s="88"/>
      <c r="N121" s="88">
        <f>SUM(I121:M121)</f>
        <v>1.4</v>
      </c>
      <c r="O121" s="88" t="s">
        <v>109</v>
      </c>
      <c r="P121" s="88"/>
      <c r="Q121" s="88"/>
      <c r="R121" s="88"/>
      <c r="S121" s="88"/>
      <c r="T121" s="88"/>
    </row>
    <row r="122" spans="8:20" x14ac:dyDescent="0.2">
      <c r="H122" s="88"/>
      <c r="I122" s="106">
        <f>I121*I119</f>
        <v>0</v>
      </c>
      <c r="J122" s="106">
        <f>J121*J119</f>
        <v>0.43076923076923074</v>
      </c>
      <c r="K122" s="106">
        <f>K121*K119</f>
        <v>1.4769230769230768</v>
      </c>
      <c r="L122" s="106">
        <f>L121*L119</f>
        <v>0.69230769230769218</v>
      </c>
      <c r="M122" s="88"/>
      <c r="N122" s="88">
        <f>SUM(I122:M122)</f>
        <v>2.5999999999999996</v>
      </c>
      <c r="O122" s="88" t="s">
        <v>110</v>
      </c>
      <c r="P122" s="88"/>
      <c r="Q122" s="88"/>
      <c r="R122" s="88"/>
      <c r="S122" s="88"/>
      <c r="T122" s="88"/>
    </row>
    <row r="123" spans="8:20" x14ac:dyDescent="0.2">
      <c r="H123" s="88"/>
      <c r="I123" s="88"/>
      <c r="J123" s="88"/>
      <c r="K123" s="107"/>
      <c r="L123" s="88"/>
      <c r="M123" s="88"/>
      <c r="N123" s="88">
        <f>N122-N121*N121</f>
        <v>0.6399999999999999</v>
      </c>
      <c r="O123" s="88" t="s">
        <v>111</v>
      </c>
      <c r="P123" s="88"/>
      <c r="Q123" s="88"/>
      <c r="R123" s="88"/>
      <c r="S123" s="88"/>
      <c r="T123" s="88"/>
    </row>
    <row r="124" spans="8:20" x14ac:dyDescent="0.2">
      <c r="H124" s="88"/>
      <c r="I124" s="88">
        <f>I120*(I119-$N$121)^2</f>
        <v>0.24123076923076917</v>
      </c>
      <c r="J124" s="88">
        <f>J120*(J119-$N$121)^2</f>
        <v>6.8923076923076879E-2</v>
      </c>
      <c r="K124" s="88">
        <f>K120*(K119-$N$121)^2</f>
        <v>0.13292307692307695</v>
      </c>
      <c r="L124" s="88">
        <f>L120*(L119-$N$121)^2</f>
        <v>0.19692307692307692</v>
      </c>
      <c r="M124" s="88"/>
      <c r="N124" s="88">
        <f>SUM(I124:M124)</f>
        <v>0.6399999999999999</v>
      </c>
      <c r="O124" s="88"/>
      <c r="P124" s="88"/>
      <c r="Q124" s="88"/>
      <c r="R124" s="88"/>
      <c r="S124" s="88"/>
      <c r="T124" s="88"/>
    </row>
    <row r="125" spans="8:20" x14ac:dyDescent="0.2">
      <c r="H125" s="88" t="s">
        <v>112</v>
      </c>
      <c r="I125" s="106">
        <f>I120</f>
        <v>0.12307692307692306</v>
      </c>
      <c r="J125" s="106">
        <f>I125+J120</f>
        <v>0.55384615384615377</v>
      </c>
      <c r="K125" s="106">
        <f>J125+K120</f>
        <v>0.92307692307692291</v>
      </c>
      <c r="L125" s="106">
        <f>K125+L120</f>
        <v>0.99999999999999978</v>
      </c>
      <c r="M125" s="88"/>
      <c r="N125" s="88"/>
      <c r="O125" s="88"/>
      <c r="P125" s="88"/>
      <c r="Q125" s="88"/>
      <c r="R125" s="88"/>
      <c r="S125" s="88"/>
      <c r="T125" s="88"/>
    </row>
    <row r="126" spans="8:20" x14ac:dyDescent="0.2"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</row>
    <row r="127" spans="8:20" x14ac:dyDescent="0.2"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</row>
    <row r="128" spans="8:20" x14ac:dyDescent="0.2"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</row>
    <row r="129" spans="8:20" x14ac:dyDescent="0.2"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</row>
    <row r="130" spans="8:20" x14ac:dyDescent="0.2"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</row>
    <row r="131" spans="8:20" x14ac:dyDescent="0.2"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</row>
    <row r="132" spans="8:20" x14ac:dyDescent="0.2"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</row>
    <row r="133" spans="8:20" x14ac:dyDescent="0.2"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</row>
    <row r="134" spans="8:20" x14ac:dyDescent="0.2"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</row>
    <row r="135" spans="8:20" x14ac:dyDescent="0.2"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</row>
    <row r="136" spans="8:20" x14ac:dyDescent="0.2"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</row>
    <row r="137" spans="8:20" x14ac:dyDescent="0.2"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</row>
    <row r="138" spans="8:20" x14ac:dyDescent="0.2"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</row>
    <row r="139" spans="8:20" x14ac:dyDescent="0.2"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</row>
    <row r="140" spans="8:20" x14ac:dyDescent="0.2"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</row>
    <row r="141" spans="8:20" x14ac:dyDescent="0.2"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</row>
    <row r="142" spans="8:20" x14ac:dyDescent="0.2"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</row>
    <row r="143" spans="8:20" x14ac:dyDescent="0.2"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</row>
    <row r="144" spans="8:20" x14ac:dyDescent="0.2"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</row>
    <row r="145" spans="8:20" x14ac:dyDescent="0.2"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</row>
  </sheetData>
  <printOptions gridLines="1"/>
  <pageMargins left="0.39374999999999999" right="0.39374999999999999" top="0" bottom="0.98402777777777795" header="0.511811023622047" footer="0.511811023622047"/>
  <pageSetup paperSize="9"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K1"/>
  <sheetViews>
    <sheetView zoomScale="95" zoomScaleNormal="95" workbookViewId="0"/>
  </sheetViews>
  <sheetFormatPr defaultColWidth="8.5703125" defaultRowHeight="12.75" x14ac:dyDescent="0.2"/>
  <cols>
    <col min="1" max="1025" width="9" style="1" customWidth="1"/>
  </cols>
  <sheetData/>
  <printOptions gridLines="1"/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в6</vt:lpstr>
      <vt:lpstr>Лист6</vt:lpstr>
      <vt:lpstr>в7</vt:lpstr>
      <vt:lpstr>Лист3</vt:lpstr>
      <vt:lpstr>в6!Excel_BuiltIn__FilterDatabase</vt:lpstr>
      <vt:lpstr>в7!Excel_BuiltIn__FilterDatabase</vt:lpstr>
      <vt:lpstr>в6!Область_печати</vt:lpstr>
      <vt:lpstr>в7!Область_печати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Заручевская Галина</dc:creator>
  <dc:description/>
  <cp:lastModifiedBy>Заручевская Галина Васильевна</cp:lastModifiedBy>
  <cp:revision>14</cp:revision>
  <cp:lastPrinted>2026-05-27T22:55:22Z</cp:lastPrinted>
  <dcterms:created xsi:type="dcterms:W3CDTF">2007-10-14T19:29:48Z</dcterms:created>
  <dcterms:modified xsi:type="dcterms:W3CDTF">2026-05-29T09:15:37Z</dcterms:modified>
  <dc:language>en-US</dc:language>
</cp:coreProperties>
</file>