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6" sheetId="1" state="visible" r:id="rId3"/>
    <sheet name="в6 (2)" sheetId="2" state="visible" r:id="rId4"/>
    <sheet name="Лист3" sheetId="3" state="visible" r:id="rId5"/>
  </sheets>
  <definedNames>
    <definedName function="false" hidden="false" localSheetId="0" name="_xlnm.Print_Area" vbProcedure="false">в6!$G$62:$T$102</definedName>
    <definedName function="false" hidden="false" localSheetId="1" name="_xlnm.Print_Area" vbProcedure="false">'в6 (2)'!$G$62:$T$102</definedName>
    <definedName function="false" hidden="false" localSheetId="0" name="Excel_BuiltIn__FilterDatabase" vbProcedure="false">в6!$B$2:$C$101</definedName>
    <definedName function="false" hidden="false" localSheetId="1" name="Excel_BuiltIn__FilterDatabase" vbProcedure="false">'в6 (2)'!$B$2:$C$101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<sst xmlns="http://schemas.openxmlformats.org/spreadsheetml/2006/main" count="301" uniqueCount="140">
  <si>
    <t xml:space="preserve">X</t>
  </si>
  <si>
    <t xml:space="preserve">Y</t>
  </si>
  <si>
    <t xml:space="preserve">Хмин</t>
  </si>
  <si>
    <t xml:space="preserve">Хмакс</t>
  </si>
  <si>
    <t xml:space="preserve">6 вариант</t>
  </si>
  <si>
    <t xml:space="preserve">Задание 4</t>
  </si>
  <si>
    <t xml:space="preserve">№1</t>
  </si>
  <si>
    <t xml:space="preserve">R</t>
  </si>
  <si>
    <t xml:space="preserve">разброс</t>
  </si>
  <si>
    <t xml:space="preserve">Обработайте статистические данные 100 независимых измерений некоторой физической величины Х.</t>
  </si>
  <si>
    <t xml:space="preserve">k=</t>
  </si>
  <si>
    <t xml:space="preserve">а) Составьте статистическое распределение частот выборки Х.</t>
  </si>
  <si>
    <t xml:space="preserve">h=</t>
  </si>
  <si>
    <t xml:space="preserve">6) Найдите эмпирическую функцию распределения и постройте ее график.</t>
  </si>
  <si>
    <t xml:space="preserve">?</t>
  </si>
  <si>
    <t xml:space="preserve">в) Постройте полигон и гистограмму относительных частот.</t>
  </si>
  <si>
    <t xml:space="preserve">ai</t>
  </si>
  <si>
    <t xml:space="preserve">bi</t>
  </si>
  <si>
    <t xml:space="preserve">ni</t>
  </si>
  <si>
    <t xml:space="preserve">nsi</t>
  </si>
  <si>
    <t xml:space="preserve">xi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</si>
  <si>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i=mi/100</t>
    </r>
  </si>
  <si>
    <t xml:space="preserve">wsi=msi/n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</si>
  <si>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i/h</t>
    </r>
  </si>
  <si>
    <t xml:space="preserve">г) Вьтчислите числовые характеристики:</t>
  </si>
  <si>
    <t xml:space="preserve">• выборочную среднюю;</t>
  </si>
  <si>
    <t xml:space="preserve">• выборочную дисперсию;</t>
  </si>
  <si>
    <t xml:space="preserve">• выборочное среднее квадратическое отклонение;</t>
  </si>
  <si>
    <t xml:space="preserve">• коэффициенты эксцесса и асимметрии.</t>
  </si>
  <si>
    <t xml:space="preserve">№2</t>
  </si>
  <si>
    <t xml:space="preserve">д) Вьщнивув гипотезу о нормальном распределении, проверьте ее критерием согласия Гiирсона при уровне значимости а = 0.05.</t>
  </si>
  <si>
    <t xml:space="preserve">е) Найдите точечньте и интервальные оценки параметров распределения (доверительвую вероятность принять равной 0.95).</t>
  </si>
  <si>
    <t xml:space="preserve">-</t>
  </si>
  <si>
    <t xml:space="preserve">xср=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</si>
  <si>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</t>
    </r>
  </si>
  <si>
    <t xml:space="preserve">d</t>
  </si>
  <si>
    <r>
      <rPr>
        <sz val="10"/>
        <rFont val="Arial Cyr"/>
        <family val="0"/>
        <charset val="204"/>
      </rPr>
      <t xml:space="preserve">xi</t>
    </r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</t>
    </r>
  </si>
  <si>
    <t xml:space="preserve">d*mi</t>
  </si>
  <si>
    <t xml:space="preserve">d2*mi</t>
  </si>
  <si>
    <t xml:space="preserve">d3*mi</t>
  </si>
  <si>
    <t xml:space="preserve">d4*mi</t>
  </si>
  <si>
    <t xml:space="preserve">2)</t>
  </si>
  <si>
    <t xml:space="preserve">m2</t>
  </si>
  <si>
    <t xml:space="preserve">m3</t>
  </si>
  <si>
    <t xml:space="preserve">m4</t>
  </si>
  <si>
    <t xml:space="preserve">s2</t>
  </si>
  <si>
    <t xml:space="preserve">точечные оценки</t>
  </si>
  <si>
    <t xml:space="preserve">s</t>
  </si>
  <si>
    <t xml:space="preserve">несмещ s2=</t>
  </si>
  <si>
    <t xml:space="preserve">несмещ s=</t>
  </si>
  <si>
    <t xml:space="preserve">Ac</t>
  </si>
  <si>
    <t xml:space="preserve">t=</t>
  </si>
  <si>
    <t xml:space="preserve">Ek</t>
  </si>
  <si>
    <t xml:space="preserve">ts/n^0,5=</t>
  </si>
  <si>
    <t xml:space="preserve">№3</t>
  </si>
  <si>
    <t xml:space="preserve">интервальная оценка</t>
  </si>
  <si>
    <t xml:space="preserve">&lt;a&lt;</t>
  </si>
  <si>
    <t xml:space="preserve">n=100, g=0,95, q=</t>
  </si>
  <si>
    <t xml:space="preserve">&lt;1(табл)</t>
  </si>
  <si>
    <t xml:space="preserve">&lt;s&lt;</t>
  </si>
  <si>
    <t xml:space="preserve">t1i</t>
  </si>
  <si>
    <t xml:space="preserve">t2i</t>
  </si>
  <si>
    <t xml:space="preserve">F(t1)</t>
  </si>
  <si>
    <t xml:space="preserve">F(t2)</t>
  </si>
  <si>
    <t xml:space="preserve">pi</t>
  </si>
  <si>
    <t xml:space="preserve">mti=npi</t>
  </si>
  <si>
    <t xml:space="preserve">"-Ґ</t>
  </si>
  <si>
    <t xml:space="preserve">pi/h</t>
  </si>
  <si>
    <t xml:space="preserve">n*i</t>
  </si>
  <si>
    <t xml:space="preserve">mi-mti</t>
  </si>
  <si>
    <t xml:space="preserve">(mi-mti)^2/mti</t>
  </si>
  <si>
    <t xml:space="preserve">контроль</t>
  </si>
  <si>
    <t xml:space="preserve">№4</t>
  </si>
  <si>
    <t xml:space="preserve">хи2</t>
  </si>
  <si>
    <t xml:space="preserve">стр.255</t>
  </si>
  <si>
    <t xml:space="preserve">m=s/sqr(n)=</t>
  </si>
  <si>
    <t xml:space="preserve">стр.249</t>
  </si>
  <si>
    <t xml:space="preserve">хи(0,05;6-3)</t>
  </si>
  <si>
    <t xml:space="preserve">Корреляционная таблица</t>
  </si>
  <si>
    <t xml:space="preserve">использовать меню данные -сортировка</t>
  </si>
  <si>
    <t xml:space="preserve">Yмин</t>
  </si>
  <si>
    <t xml:space="preserve">Yмакс</t>
  </si>
  <si>
    <t xml:space="preserve">№5</t>
  </si>
  <si>
    <t xml:space="preserve">3)</t>
  </si>
  <si>
    <t xml:space="preserve">№6</t>
  </si>
  <si>
    <t xml:space="preserve">4)</t>
  </si>
  <si>
    <t xml:space="preserve">m(xy)</t>
  </si>
  <si>
    <t xml:space="preserve">5)</t>
  </si>
  <si>
    <t xml:space="preserve">закон распределения Y</t>
  </si>
  <si>
    <t xml:space="preserve">(закон распределения X</t>
  </si>
  <si>
    <t xml:space="preserve">известен)</t>
  </si>
  <si>
    <t xml:space="preserve">№7</t>
  </si>
  <si>
    <t xml:space="preserve">7)</t>
  </si>
  <si>
    <t xml:space="preserve">p</t>
  </si>
  <si>
    <t xml:space="preserve">m(y)</t>
  </si>
  <si>
    <t xml:space="preserve">№8</t>
  </si>
  <si>
    <t xml:space="preserve">m(y2)</t>
  </si>
  <si>
    <t xml:space="preserve">rв=(m(xy)-m(x)m(y))/(sxsy)</t>
  </si>
  <si>
    <t xml:space="preserve">r(sy)/(sx)</t>
  </si>
  <si>
    <t xml:space="preserve">D(y)</t>
  </si>
  <si>
    <t xml:space="preserve">s(y)</t>
  </si>
  <si>
    <t xml:space="preserve">закон распределения X</t>
  </si>
  <si>
    <t xml:space="preserve">(известен)</t>
  </si>
  <si>
    <t xml:space="preserve">x</t>
  </si>
  <si>
    <t xml:space="preserve">m(x)</t>
  </si>
  <si>
    <r>
      <rPr>
        <sz val="10"/>
        <rFont val="Arial Cyr"/>
        <family val="0"/>
        <charset val="204"/>
      </rPr>
      <t xml:space="preserve">m(x</t>
    </r>
    <r>
      <rPr>
        <vertAlign val="superscript"/>
        <sz val="10"/>
        <rFont val="Arial Cyr"/>
        <family val="2"/>
        <charset val="204"/>
      </rPr>
      <t xml:space="preserve">2</t>
    </r>
    <r>
      <rPr>
        <sz val="10"/>
        <rFont val="Arial Cyr"/>
        <family val="0"/>
        <charset val="204"/>
      </rPr>
      <t xml:space="preserve">)</t>
    </r>
  </si>
  <si>
    <t xml:space="preserve">D(x)</t>
  </si>
  <si>
    <t xml:space="preserve">s(x)</t>
  </si>
  <si>
    <t xml:space="preserve">з396</t>
  </si>
  <si>
    <t xml:space="preserve">mx</t>
  </si>
  <si>
    <t xml:space="preserve">mx2</t>
  </si>
  <si>
    <t xml:space="preserve">D</t>
  </si>
  <si>
    <t xml:space="preserve">F</t>
  </si>
  <si>
    <t xml:space="preserve">частота</t>
  </si>
  <si>
    <t xml:space="preserve">накопл част</t>
  </si>
  <si>
    <t xml:space="preserve">сер инт</t>
  </si>
  <si>
    <t xml:space="preserve">отн частота</t>
  </si>
  <si>
    <t xml:space="preserve">накопл отн частота</t>
  </si>
  <si>
    <t xml:space="preserve">   </t>
  </si>
  <si>
    <t xml:space="preserve">+бесконечность</t>
  </si>
  <si>
    <t xml:space="preserve">Эмпир</t>
  </si>
  <si>
    <t xml:space="preserve">Теоретич</t>
  </si>
  <si>
    <t xml:space="preserve">хи2 набл</t>
  </si>
  <si>
    <t xml:space="preserve">отлчаться на 100 должны</t>
  </si>
  <si>
    <t xml:space="preserve">прил 5 с 392</t>
  </si>
  <si>
    <t xml:space="preserve">n</t>
  </si>
  <si>
    <t xml:space="preserve">X2</t>
  </si>
  <si>
    <t xml:space="preserve">XY</t>
  </si>
  <si>
    <t xml:space="preserve">Y2</t>
  </si>
  <si>
    <t xml:space="preserve">b0</t>
  </si>
  <si>
    <t xml:space="preserve">b1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</si>
  <si>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=</t>
    </r>
  </si>
  <si>
    <t xml:space="preserve">Sx=</t>
  </si>
  <si>
    <t xml:space="preserve">Итого</t>
  </si>
  <si>
    <t xml:space="preserve">Sy=</t>
  </si>
  <si>
    <t xml:space="preserve">сред</t>
  </si>
  <si>
    <t xml:space="preserve">r=</t>
  </si>
  <si>
    <r>
      <rPr>
        <sz val="11"/>
        <color rgb="FF4D5156"/>
        <rFont val="Arial"/>
        <family val="2"/>
        <charset val="204"/>
      </rPr>
      <t xml:space="preserve">от 0 до 0,3, очень </t>
    </r>
    <r>
      <rPr>
        <b val="true"/>
        <sz val="11"/>
        <color rgb="FF5F6368"/>
        <rFont val="Arial"/>
        <family val="2"/>
        <charset val="204"/>
      </rPr>
      <t xml:space="preserve">слабая</t>
    </r>
    <r>
      <rPr>
        <sz val="11"/>
        <color rgb="FF4D5156"/>
        <rFont val="Arial"/>
        <family val="2"/>
        <charset val="204"/>
      </rPr>
      <t xml:space="preserve"> ; 
от 0,3 до 0,5, </t>
    </r>
    <r>
      <rPr>
        <b val="true"/>
        <sz val="11"/>
        <color rgb="FF5F6368"/>
        <rFont val="Arial"/>
        <family val="2"/>
        <charset val="204"/>
      </rPr>
      <t xml:space="preserve">слабая</t>
    </r>
    <r>
      <rPr>
        <sz val="11"/>
        <color rgb="FF4D5156"/>
        <rFont val="Arial"/>
        <family val="2"/>
        <charset val="204"/>
      </rPr>
      <t xml:space="preserve"> ;
 от 0, 5 до 0,7, </t>
    </r>
    <r>
      <rPr>
        <b val="true"/>
        <sz val="11"/>
        <color rgb="FF5F6368"/>
        <rFont val="Arial"/>
        <family val="2"/>
        <charset val="204"/>
      </rPr>
      <t xml:space="preserve">средняя</t>
    </r>
    <r>
      <rPr>
        <sz val="11"/>
        <color rgb="FF4D5156"/>
        <rFont val="Arial"/>
        <family val="2"/>
        <charset val="204"/>
      </rPr>
      <t xml:space="preserve"> ;
 от 0,7 до 0, 9, высокая</t>
    </r>
  </si>
  <si>
    <t xml:space="preserve">y=</t>
  </si>
  <si>
    <t xml:space="preserve">*x+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</si>
</sst>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"/>
    <numFmt numFmtId="168" formatCode="0.0"/>
    <numFmt numFmtId="169" formatCode="0.0000"/>
  </numFmts>
  <fonts count="18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ymbol"/>
      <family val="1"/>
      <charset val="2"/>
    </font>
    <font>
      <sz val="10"/>
      <name val="Arial Cyr"/>
      <family val="2"/>
      <charset val="204"/>
    </font>
    <font>
      <sz val="13.5"/>
      <name val="Symbol"/>
      <family val="1"/>
      <charset val="2"/>
    </font>
    <font>
      <b val="true"/>
      <sz val="10"/>
      <name val="Arial Cyr"/>
      <family val="2"/>
      <charset val="204"/>
    </font>
    <font>
      <vertAlign val="superscript"/>
      <sz val="10"/>
      <name val="Arial Cyr"/>
      <family val="2"/>
      <charset val="204"/>
    </font>
    <font>
      <sz val="10"/>
      <color rgb="FFC9211E"/>
      <name val="Symbol"/>
      <family val="1"/>
      <charset val="2"/>
    </font>
    <font>
      <sz val="10"/>
      <color rgb="FFC9211E"/>
      <name val="Arial Cyr"/>
      <family val="0"/>
      <charset val="204"/>
    </font>
    <font>
      <sz val="11"/>
      <color rgb="FF4D5156"/>
      <name val="Arial"/>
      <family val="2"/>
      <charset val="204"/>
    </font>
    <font>
      <b val="true"/>
      <sz val="11"/>
      <color rgb="FF5F6368"/>
      <name val="Arial"/>
      <family val="2"/>
      <charset val="204"/>
    </font>
    <font>
      <sz val="8"/>
      <name val="Arial Cyr"/>
      <family val="0"/>
      <charset val="204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99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FFCC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81D41A"/>
      </patternFill>
    </fill>
    <fill>
      <patternFill patternType="solid">
        <fgColor rgb="FF000080"/>
        <bgColor rgb="FF000080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CCFF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993366"/>
        <bgColor rgb="FF993366"/>
      </patternFill>
    </fill>
    <fill>
      <patternFill patternType="solid">
        <fgColor rgb="FFFFFF00"/>
        <bgColor rgb="FFFFCC00"/>
      </patternFill>
    </fill>
    <fill>
      <patternFill patternType="solid">
        <fgColor theme="9"/>
        <bgColor rgb="FF81D41A"/>
      </patternFill>
    </fill>
    <fill>
      <patternFill patternType="solid">
        <fgColor rgb="FF81D41A"/>
        <bgColor rgb="FF99CC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6368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81D41A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70AD47"/>
      <rgbColor rgb="FF003300"/>
      <rgbColor rgb="FF333300"/>
      <rgbColor rgb="FFC9211E"/>
      <rgbColor rgb="FF993366"/>
      <rgbColor rgb="FF595959"/>
      <rgbColor rgb="FF4D5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Open Sans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Полигон</a:t>
            </a:r>
          </a:p>
        </c:rich>
      </c:tx>
      <c:layout>
        <c:manualLayout>
          <c:xMode val="edge"/>
          <c:yMode val="edge"/>
          <c:x val="0.400164769322948"/>
          <c:y val="0.04349555761835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39664469742361"/>
          <c:y val="0.164434425142554"/>
          <c:w val="0.755766926303176"/>
          <c:h val="0.835432966450073"/>
        </c:manualLayout>
      </c:layout>
      <c:lineChart>
        <c:grouping val="standard"/>
        <c:varyColors val="0"/>
        <c:ser>
          <c:idx val="0"/>
          <c:order val="0"/>
          <c:tx>
            <c:strRef>
              <c:f>"Полигон"</c:f>
              <c:strCache>
                <c:ptCount val="1"/>
                <c:pt idx="0">
                  <c:v>Полигон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'в6 (2)'!$L$7:$L$14</c:f>
              <c:strCache>
                <c:ptCount val="8"/>
                <c:pt idx="0">
                  <c:v>157,50</c:v>
                </c:pt>
                <c:pt idx="1">
                  <c:v>160,50</c:v>
                </c:pt>
                <c:pt idx="2">
                  <c:v>163,50</c:v>
                </c:pt>
                <c:pt idx="3">
                  <c:v>166,50</c:v>
                </c:pt>
                <c:pt idx="4">
                  <c:v>169,50</c:v>
                </c:pt>
                <c:pt idx="5">
                  <c:v>172,50</c:v>
                </c:pt>
                <c:pt idx="6">
                  <c:v>175,50</c:v>
                </c:pt>
                <c:pt idx="7">
                  <c:v>178,50</c:v>
                </c:pt>
              </c:strCache>
            </c:strRef>
          </c:cat>
          <c:val>
            <c:numRef>
              <c:f>'в6 (2)'!$M$7:$M$14</c:f>
              <c:numCache>
                <c:formatCode>General</c:formatCode>
                <c:ptCount val="8"/>
                <c:pt idx="0">
                  <c:v>0.04</c:v>
                </c:pt>
                <c:pt idx="1">
                  <c:v>0.06</c:v>
                </c:pt>
                <c:pt idx="2">
                  <c:v>0.14</c:v>
                </c:pt>
                <c:pt idx="3">
                  <c:v>0.24</c:v>
                </c:pt>
                <c:pt idx="4">
                  <c:v>0.19</c:v>
                </c:pt>
                <c:pt idx="5">
                  <c:v>0.2</c:v>
                </c:pt>
                <c:pt idx="6">
                  <c:v>0.08</c:v>
                </c:pt>
                <c:pt idx="7">
                  <c:v>0.05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83659"/>
        <c:axId val="13824790"/>
      </c:lineChart>
      <c:catAx>
        <c:axId val="1338365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24790"/>
        <c:crossesAt val="0"/>
        <c:auto val="1"/>
        <c:lblAlgn val="ctr"/>
        <c:lblOffset val="100"/>
        <c:noMultiLvlLbl val="0"/>
      </c:catAx>
      <c:valAx>
        <c:axId val="13824790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83659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1679115625934"/>
          <c:y val="0.526846082460559"/>
          <c:w val="0.17388706304153"/>
          <c:h val="0.0794113747845685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Open Sans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Кумулята</a:t>
            </a:r>
          </a:p>
        </c:rich>
      </c:tx>
      <c:layout>
        <c:manualLayout>
          <c:xMode val="edge"/>
          <c:yMode val="edge"/>
          <c:x val="0.350092535471931"/>
          <c:y val="0.074667888227210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75282747275344"/>
          <c:y val="0"/>
          <c:w val="0.766810610734115"/>
          <c:h val="0.999770957398076"/>
        </c:manualLayout>
      </c:layout>
      <c:lineChart>
        <c:grouping val="standard"/>
        <c:varyColors val="0"/>
        <c:ser>
          <c:idx val="0"/>
          <c:order val="0"/>
          <c:tx>
            <c:strRef>
              <c:f>"Кумулята"</c:f>
              <c:strCache>
                <c:ptCount val="1"/>
                <c:pt idx="0">
                  <c:v>Кумулята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'в6 (2)'!$L$7:$L$14</c:f>
              <c:strCache>
                <c:ptCount val="8"/>
                <c:pt idx="0">
                  <c:v>157,50</c:v>
                </c:pt>
                <c:pt idx="1">
                  <c:v>160,50</c:v>
                </c:pt>
                <c:pt idx="2">
                  <c:v>163,50</c:v>
                </c:pt>
                <c:pt idx="3">
                  <c:v>166,50</c:v>
                </c:pt>
                <c:pt idx="4">
                  <c:v>169,50</c:v>
                </c:pt>
                <c:pt idx="5">
                  <c:v>172,50</c:v>
                </c:pt>
                <c:pt idx="6">
                  <c:v>175,50</c:v>
                </c:pt>
                <c:pt idx="7">
                  <c:v>178,50</c:v>
                </c:pt>
              </c:strCache>
            </c:strRef>
          </c:cat>
          <c:val>
            <c:numRef>
              <c:f>'в6 (2)'!$N$7:$N$14</c:f>
              <c:numCache>
                <c:formatCode>General</c:formatCode>
                <c:ptCount val="8"/>
                <c:pt idx="0">
                  <c:v>0.04</c:v>
                </c:pt>
                <c:pt idx="1">
                  <c:v>0.1</c:v>
                </c:pt>
                <c:pt idx="2">
                  <c:v>0.24</c:v>
                </c:pt>
                <c:pt idx="3">
                  <c:v>0.48</c:v>
                </c:pt>
                <c:pt idx="4">
                  <c:v>0.67</c:v>
                </c:pt>
                <c:pt idx="5">
                  <c:v>0.87</c:v>
                </c:pt>
                <c:pt idx="6">
                  <c:v>0.95</c:v>
                </c:pt>
                <c:pt idx="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513331"/>
        <c:axId val="85840629"/>
      </c:lineChart>
      <c:catAx>
        <c:axId val="3651333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 rot="-2700000"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40629"/>
        <c:crossesAt val="0"/>
        <c:auto val="1"/>
        <c:lblAlgn val="ctr"/>
        <c:lblOffset val="100"/>
        <c:noMultiLvlLbl val="0"/>
      </c:catAx>
      <c:valAx>
        <c:axId val="85840629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513331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5116374448888"/>
          <c:y val="0.545579477782868"/>
          <c:w val="0.253152876038142"/>
          <c:h val="0.13719651855245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241531216770469"/>
          <c:y val="0.0239833159541189"/>
          <c:w val="0.661324624031597"/>
          <c:h val="0.97588633993743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19080">
              <a:noFill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'в6 (2)'!$B$2:$B$101</c:f>
              <c:numCache>
                <c:formatCode>General</c:formatCode>
                <c:ptCount val="100"/>
                <c:pt idx="0">
                  <c:v>174</c:v>
                </c:pt>
                <c:pt idx="1">
                  <c:v>166</c:v>
                </c:pt>
                <c:pt idx="2">
                  <c:v>161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168</c:v>
                </c:pt>
                <c:pt idx="7">
                  <c:v>167</c:v>
                </c:pt>
                <c:pt idx="8">
                  <c:v>178</c:v>
                </c:pt>
                <c:pt idx="9">
                  <c:v>165</c:v>
                </c:pt>
                <c:pt idx="10">
                  <c:v>175</c:v>
                </c:pt>
                <c:pt idx="11">
                  <c:v>165</c:v>
                </c:pt>
                <c:pt idx="12">
                  <c:v>172</c:v>
                </c:pt>
                <c:pt idx="13">
                  <c:v>173</c:v>
                </c:pt>
                <c:pt idx="14">
                  <c:v>167</c:v>
                </c:pt>
                <c:pt idx="15">
                  <c:v>163</c:v>
                </c:pt>
                <c:pt idx="16">
                  <c:v>173</c:v>
                </c:pt>
                <c:pt idx="17">
                  <c:v>164</c:v>
                </c:pt>
                <c:pt idx="18">
                  <c:v>170</c:v>
                </c:pt>
                <c:pt idx="19">
                  <c:v>164</c:v>
                </c:pt>
                <c:pt idx="20">
                  <c:v>170</c:v>
                </c:pt>
                <c:pt idx="21">
                  <c:v>180</c:v>
                </c:pt>
                <c:pt idx="22">
                  <c:v>176</c:v>
                </c:pt>
                <c:pt idx="23">
                  <c:v>173</c:v>
                </c:pt>
                <c:pt idx="24">
                  <c:v>168</c:v>
                </c:pt>
                <c:pt idx="25">
                  <c:v>161</c:v>
                </c:pt>
                <c:pt idx="26">
                  <c:v>164</c:v>
                </c:pt>
                <c:pt idx="27">
                  <c:v>167</c:v>
                </c:pt>
                <c:pt idx="28">
                  <c:v>176</c:v>
                </c:pt>
                <c:pt idx="29">
                  <c:v>165</c:v>
                </c:pt>
                <c:pt idx="30">
                  <c:v>166</c:v>
                </c:pt>
                <c:pt idx="31">
                  <c:v>175</c:v>
                </c:pt>
                <c:pt idx="32">
                  <c:v>164</c:v>
                </c:pt>
                <c:pt idx="33">
                  <c:v>171</c:v>
                </c:pt>
                <c:pt idx="34">
                  <c:v>174</c:v>
                </c:pt>
                <c:pt idx="35">
                  <c:v>167</c:v>
                </c:pt>
                <c:pt idx="36">
                  <c:v>169</c:v>
                </c:pt>
                <c:pt idx="37">
                  <c:v>162</c:v>
                </c:pt>
                <c:pt idx="38">
                  <c:v>169</c:v>
                </c:pt>
                <c:pt idx="39">
                  <c:v>173</c:v>
                </c:pt>
                <c:pt idx="40">
                  <c:v>172</c:v>
                </c:pt>
                <c:pt idx="41">
                  <c:v>164</c:v>
                </c:pt>
                <c:pt idx="42">
                  <c:v>170</c:v>
                </c:pt>
                <c:pt idx="43">
                  <c:v>167</c:v>
                </c:pt>
                <c:pt idx="44">
                  <c:v>166</c:v>
                </c:pt>
                <c:pt idx="45">
                  <c:v>156</c:v>
                </c:pt>
                <c:pt idx="46">
                  <c:v>166</c:v>
                </c:pt>
                <c:pt idx="47">
                  <c:v>156</c:v>
                </c:pt>
                <c:pt idx="48">
                  <c:v>169</c:v>
                </c:pt>
                <c:pt idx="49">
                  <c:v>165</c:v>
                </c:pt>
                <c:pt idx="50">
                  <c:v>172</c:v>
                </c:pt>
                <c:pt idx="51">
                  <c:v>178</c:v>
                </c:pt>
                <c:pt idx="52">
                  <c:v>170</c:v>
                </c:pt>
                <c:pt idx="53">
                  <c:v>167</c:v>
                </c:pt>
                <c:pt idx="54">
                  <c:v>166</c:v>
                </c:pt>
                <c:pt idx="55">
                  <c:v>163</c:v>
                </c:pt>
                <c:pt idx="56">
                  <c:v>157</c:v>
                </c:pt>
                <c:pt idx="57">
                  <c:v>173</c:v>
                </c:pt>
                <c:pt idx="58">
                  <c:v>176</c:v>
                </c:pt>
                <c:pt idx="59">
                  <c:v>167</c:v>
                </c:pt>
                <c:pt idx="60">
                  <c:v>168</c:v>
                </c:pt>
                <c:pt idx="61">
                  <c:v>172</c:v>
                </c:pt>
                <c:pt idx="62">
                  <c:v>168</c:v>
                </c:pt>
                <c:pt idx="63">
                  <c:v>177</c:v>
                </c:pt>
                <c:pt idx="64">
                  <c:v>163</c:v>
                </c:pt>
                <c:pt idx="65">
                  <c:v>169</c:v>
                </c:pt>
                <c:pt idx="66">
                  <c:v>173</c:v>
                </c:pt>
                <c:pt idx="67">
                  <c:v>178</c:v>
                </c:pt>
                <c:pt idx="68">
                  <c:v>171</c:v>
                </c:pt>
                <c:pt idx="69">
                  <c:v>161</c:v>
                </c:pt>
                <c:pt idx="70">
                  <c:v>162</c:v>
                </c:pt>
                <c:pt idx="71">
                  <c:v>167</c:v>
                </c:pt>
                <c:pt idx="72">
                  <c:v>174</c:v>
                </c:pt>
                <c:pt idx="73">
                  <c:v>167</c:v>
                </c:pt>
                <c:pt idx="74">
                  <c:v>169</c:v>
                </c:pt>
                <c:pt idx="75">
                  <c:v>176</c:v>
                </c:pt>
                <c:pt idx="76">
                  <c:v>170</c:v>
                </c:pt>
                <c:pt idx="77">
                  <c:v>168</c:v>
                </c:pt>
                <c:pt idx="78">
                  <c:v>172</c:v>
                </c:pt>
                <c:pt idx="79">
                  <c:v>164</c:v>
                </c:pt>
                <c:pt idx="80">
                  <c:v>178</c:v>
                </c:pt>
                <c:pt idx="81">
                  <c:v>172</c:v>
                </c:pt>
                <c:pt idx="82">
                  <c:v>171</c:v>
                </c:pt>
                <c:pt idx="83">
                  <c:v>167</c:v>
                </c:pt>
                <c:pt idx="84">
                  <c:v>170</c:v>
                </c:pt>
                <c:pt idx="85">
                  <c:v>170</c:v>
                </c:pt>
                <c:pt idx="86">
                  <c:v>167</c:v>
                </c:pt>
                <c:pt idx="87">
                  <c:v>171</c:v>
                </c:pt>
                <c:pt idx="88">
                  <c:v>168</c:v>
                </c:pt>
                <c:pt idx="89">
                  <c:v>173</c:v>
                </c:pt>
                <c:pt idx="90">
                  <c:v>173</c:v>
                </c:pt>
                <c:pt idx="91">
                  <c:v>170</c:v>
                </c:pt>
                <c:pt idx="92">
                  <c:v>172</c:v>
                </c:pt>
                <c:pt idx="93">
                  <c:v>162</c:v>
                </c:pt>
                <c:pt idx="94">
                  <c:v>171</c:v>
                </c:pt>
                <c:pt idx="95">
                  <c:v>173</c:v>
                </c:pt>
                <c:pt idx="96">
                  <c:v>156</c:v>
                </c:pt>
                <c:pt idx="97">
                  <c:v>168</c:v>
                </c:pt>
                <c:pt idx="98">
                  <c:v>176</c:v>
                </c:pt>
                <c:pt idx="99">
                  <c:v>164</c:v>
                </c:pt>
              </c:numCache>
            </c:numRef>
          </c:xVal>
          <c:yVal>
            <c:numRef>
              <c:f>'в6 (2)'!$C$2:$C$101</c:f>
              <c:numCache>
                <c:formatCode>General</c:formatCode>
                <c:ptCount val="100"/>
                <c:pt idx="0">
                  <c:v>70</c:v>
                </c:pt>
                <c:pt idx="1">
                  <c:v>57</c:v>
                </c:pt>
                <c:pt idx="2">
                  <c:v>55</c:v>
                </c:pt>
                <c:pt idx="3">
                  <c:v>60</c:v>
                </c:pt>
                <c:pt idx="4">
                  <c:v>57</c:v>
                </c:pt>
                <c:pt idx="5">
                  <c:v>62</c:v>
                </c:pt>
                <c:pt idx="6">
                  <c:v>70</c:v>
                </c:pt>
                <c:pt idx="7">
                  <c:v>65</c:v>
                </c:pt>
                <c:pt idx="8">
                  <c:v>80</c:v>
                </c:pt>
                <c:pt idx="9">
                  <c:v>68</c:v>
                </c:pt>
                <c:pt idx="10">
                  <c:v>64</c:v>
                </c:pt>
                <c:pt idx="11">
                  <c:v>55</c:v>
                </c:pt>
                <c:pt idx="12">
                  <c:v>78</c:v>
                </c:pt>
                <c:pt idx="13">
                  <c:v>65</c:v>
                </c:pt>
                <c:pt idx="14">
                  <c:v>63</c:v>
                </c:pt>
                <c:pt idx="15">
                  <c:v>67</c:v>
                </c:pt>
                <c:pt idx="16">
                  <c:v>71</c:v>
                </c:pt>
                <c:pt idx="17">
                  <c:v>68</c:v>
                </c:pt>
                <c:pt idx="18">
                  <c:v>68</c:v>
                </c:pt>
                <c:pt idx="19">
                  <c:v>60</c:v>
                </c:pt>
                <c:pt idx="20">
                  <c:v>63</c:v>
                </c:pt>
                <c:pt idx="21">
                  <c:v>73</c:v>
                </c:pt>
                <c:pt idx="22">
                  <c:v>81</c:v>
                </c:pt>
                <c:pt idx="23">
                  <c:v>74</c:v>
                </c:pt>
                <c:pt idx="24">
                  <c:v>66</c:v>
                </c:pt>
                <c:pt idx="25">
                  <c:v>55</c:v>
                </c:pt>
                <c:pt idx="26">
                  <c:v>62</c:v>
                </c:pt>
                <c:pt idx="27">
                  <c:v>61</c:v>
                </c:pt>
                <c:pt idx="28">
                  <c:v>77</c:v>
                </c:pt>
                <c:pt idx="29">
                  <c:v>55</c:v>
                </c:pt>
                <c:pt idx="30">
                  <c:v>61</c:v>
                </c:pt>
                <c:pt idx="31">
                  <c:v>66</c:v>
                </c:pt>
                <c:pt idx="32">
                  <c:v>57</c:v>
                </c:pt>
                <c:pt idx="33">
                  <c:v>65</c:v>
                </c:pt>
                <c:pt idx="34">
                  <c:v>79</c:v>
                </c:pt>
                <c:pt idx="35">
                  <c:v>71</c:v>
                </c:pt>
                <c:pt idx="36">
                  <c:v>59</c:v>
                </c:pt>
                <c:pt idx="37">
                  <c:v>52</c:v>
                </c:pt>
                <c:pt idx="38">
                  <c:v>68</c:v>
                </c:pt>
                <c:pt idx="39">
                  <c:v>66</c:v>
                </c:pt>
                <c:pt idx="40">
                  <c:v>66</c:v>
                </c:pt>
                <c:pt idx="41">
                  <c:v>60</c:v>
                </c:pt>
                <c:pt idx="42">
                  <c:v>63</c:v>
                </c:pt>
                <c:pt idx="43">
                  <c:v>65</c:v>
                </c:pt>
                <c:pt idx="44">
                  <c:v>55</c:v>
                </c:pt>
                <c:pt idx="45">
                  <c:v>54</c:v>
                </c:pt>
                <c:pt idx="46">
                  <c:v>55</c:v>
                </c:pt>
                <c:pt idx="47">
                  <c:v>54</c:v>
                </c:pt>
                <c:pt idx="48">
                  <c:v>57</c:v>
                </c:pt>
                <c:pt idx="49">
                  <c:v>55</c:v>
                </c:pt>
                <c:pt idx="50">
                  <c:v>78</c:v>
                </c:pt>
                <c:pt idx="51">
                  <c:v>60</c:v>
                </c:pt>
                <c:pt idx="52">
                  <c:v>63</c:v>
                </c:pt>
                <c:pt idx="53">
                  <c:v>61</c:v>
                </c:pt>
                <c:pt idx="54">
                  <c:v>62</c:v>
                </c:pt>
                <c:pt idx="55">
                  <c:v>60</c:v>
                </c:pt>
                <c:pt idx="56">
                  <c:v>69</c:v>
                </c:pt>
                <c:pt idx="57">
                  <c:v>66</c:v>
                </c:pt>
                <c:pt idx="58">
                  <c:v>65</c:v>
                </c:pt>
                <c:pt idx="59">
                  <c:v>62</c:v>
                </c:pt>
                <c:pt idx="60">
                  <c:v>64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68</c:v>
                </c:pt>
                <c:pt idx="65">
                  <c:v>66</c:v>
                </c:pt>
                <c:pt idx="66">
                  <c:v>77</c:v>
                </c:pt>
                <c:pt idx="67">
                  <c:v>71</c:v>
                </c:pt>
                <c:pt idx="68">
                  <c:v>64</c:v>
                </c:pt>
                <c:pt idx="69">
                  <c:v>51</c:v>
                </c:pt>
                <c:pt idx="70">
                  <c:v>65</c:v>
                </c:pt>
                <c:pt idx="71">
                  <c:v>63</c:v>
                </c:pt>
                <c:pt idx="72">
                  <c:v>68</c:v>
                </c:pt>
                <c:pt idx="73">
                  <c:v>65</c:v>
                </c:pt>
                <c:pt idx="74">
                  <c:v>61</c:v>
                </c:pt>
                <c:pt idx="75">
                  <c:v>70</c:v>
                </c:pt>
                <c:pt idx="76">
                  <c:v>67</c:v>
                </c:pt>
                <c:pt idx="77">
                  <c:v>65</c:v>
                </c:pt>
                <c:pt idx="78">
                  <c:v>59</c:v>
                </c:pt>
                <c:pt idx="79">
                  <c:v>60</c:v>
                </c:pt>
                <c:pt idx="80">
                  <c:v>80</c:v>
                </c:pt>
                <c:pt idx="81">
                  <c:v>73</c:v>
                </c:pt>
                <c:pt idx="82">
                  <c:v>65</c:v>
                </c:pt>
                <c:pt idx="83">
                  <c:v>52</c:v>
                </c:pt>
                <c:pt idx="84">
                  <c:v>61</c:v>
                </c:pt>
                <c:pt idx="85">
                  <c:v>63</c:v>
                </c:pt>
                <c:pt idx="86">
                  <c:v>57</c:v>
                </c:pt>
                <c:pt idx="87">
                  <c:v>63</c:v>
                </c:pt>
                <c:pt idx="88">
                  <c:v>58</c:v>
                </c:pt>
                <c:pt idx="89">
                  <c:v>63</c:v>
                </c:pt>
                <c:pt idx="90">
                  <c:v>72</c:v>
                </c:pt>
                <c:pt idx="91">
                  <c:v>65</c:v>
                </c:pt>
                <c:pt idx="92">
                  <c:v>70</c:v>
                </c:pt>
                <c:pt idx="93">
                  <c:v>56</c:v>
                </c:pt>
                <c:pt idx="94">
                  <c:v>63</c:v>
                </c:pt>
                <c:pt idx="95">
                  <c:v>69</c:v>
                </c:pt>
                <c:pt idx="96">
                  <c:v>54</c:v>
                </c:pt>
                <c:pt idx="97">
                  <c:v>70</c:v>
                </c:pt>
                <c:pt idx="98">
                  <c:v>70</c:v>
                </c:pt>
                <c:pt idx="99">
                  <c:v>57</c:v>
                </c:pt>
              </c:numCache>
            </c:numRef>
          </c:yVal>
          <c:smooth val="0"/>
        </c:ser>
        <c:axId val="81139538"/>
        <c:axId val="59898538"/>
      </c:scatterChart>
      <c:valAx>
        <c:axId val="811395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98538"/>
        <c:crossesAt val="0"/>
        <c:crossBetween val="midCat"/>
      </c:valAx>
      <c:valAx>
        <c:axId val="59898538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13953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95816341942305"/>
          <c:y val="0.415168100078186"/>
          <c:w val="0.269068116598701"/>
          <c:h val="0.160802710450873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Open Sans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Calibri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'в6 (2)'!$Z$67:$Z$74</c:f>
              <c:numCache>
                <c:formatCode>0.0</c:formatCode>
                <c:ptCount val="8"/>
                <c:pt idx="0">
                  <c:v>157.5</c:v>
                </c:pt>
                <c:pt idx="1">
                  <c:v>160.5</c:v>
                </c:pt>
                <c:pt idx="2">
                  <c:v>163.5</c:v>
                </c:pt>
                <c:pt idx="3">
                  <c:v>166.5</c:v>
                </c:pt>
                <c:pt idx="4">
                  <c:v>169.5</c:v>
                </c:pt>
                <c:pt idx="5">
                  <c:v>172.5</c:v>
                </c:pt>
                <c:pt idx="6">
                  <c:v>175.5</c:v>
                </c:pt>
                <c:pt idx="7">
                  <c:v>178.5</c:v>
                </c:pt>
              </c:numCache>
            </c:numRef>
          </c:xVal>
          <c:yVal>
            <c:numRef>
              <c:f>'в6 (2)'!$AA$67:$AA$74</c:f>
              <c:numCache>
                <c:formatCode>General</c:formatCode>
                <c:ptCount val="8"/>
                <c:pt idx="0">
                  <c:v>58.2916666666667</c:v>
                </c:pt>
                <c:pt idx="1">
                  <c:v>61.2272727272727</c:v>
                </c:pt>
                <c:pt idx="2">
                  <c:v>60.1875</c:v>
                </c:pt>
                <c:pt idx="3">
                  <c:v>66.78125</c:v>
                </c:pt>
                <c:pt idx="4">
                  <c:v>67.640625</c:v>
                </c:pt>
                <c:pt idx="5">
                  <c:v>70.125</c:v>
                </c:pt>
                <c:pt idx="6">
                  <c:v>66.625</c:v>
                </c:pt>
                <c:pt idx="7">
                  <c:v>79.125</c:v>
                </c:pt>
              </c:numCache>
            </c:numRef>
          </c:yVal>
          <c:smooth val="0"/>
        </c:ser>
        <c:axId val="38618612"/>
        <c:axId val="11059902"/>
      </c:scatterChart>
      <c:valAx>
        <c:axId val="3861861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1059902"/>
        <c:crosses val="autoZero"/>
        <c:crossBetween val="midCat"/>
      </c:valAx>
      <c:valAx>
        <c:axId val="110599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86186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259200</xdr:colOff>
      <xdr:row>15</xdr:row>
      <xdr:rowOff>57240</xdr:rowOff>
    </xdr:from>
    <xdr:to>
      <xdr:col>23</xdr:col>
      <xdr:colOff>20520</xdr:colOff>
      <xdr:row>31</xdr:row>
      <xdr:rowOff>129960</xdr:rowOff>
    </xdr:to>
    <xdr:graphicFrame>
      <xdr:nvGraphicFramePr>
        <xdr:cNvPr id="0" name="Диаграмма 2"/>
        <xdr:cNvGraphicFramePr/>
      </xdr:nvGraphicFramePr>
      <xdr:xfrm>
        <a:off x="8424720" y="2486160"/>
        <a:ext cx="480636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509400</xdr:colOff>
      <xdr:row>13</xdr:row>
      <xdr:rowOff>46080</xdr:rowOff>
    </xdr:from>
    <xdr:to>
      <xdr:col>29</xdr:col>
      <xdr:colOff>204120</xdr:colOff>
      <xdr:row>22</xdr:row>
      <xdr:rowOff>109080</xdr:rowOff>
    </xdr:to>
    <xdr:graphicFrame>
      <xdr:nvGraphicFramePr>
        <xdr:cNvPr id="1" name="Диаграмма 3"/>
        <xdr:cNvGraphicFramePr/>
      </xdr:nvGraphicFramePr>
      <xdr:xfrm>
        <a:off x="13719960" y="2151000"/>
        <a:ext cx="3501000" cy="157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149760</xdr:colOff>
      <xdr:row>92</xdr:row>
      <xdr:rowOff>64080</xdr:rowOff>
    </xdr:from>
    <xdr:to>
      <xdr:col>28</xdr:col>
      <xdr:colOff>448560</xdr:colOff>
      <xdr:row>109</xdr:row>
      <xdr:rowOff>72720</xdr:rowOff>
    </xdr:to>
    <xdr:graphicFrame>
      <xdr:nvGraphicFramePr>
        <xdr:cNvPr id="2" name="Диаграмма 1"/>
        <xdr:cNvGraphicFramePr/>
      </xdr:nvGraphicFramePr>
      <xdr:xfrm>
        <a:off x="12091680" y="15583320"/>
        <a:ext cx="4739400" cy="276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493560</xdr:colOff>
      <xdr:row>77</xdr:row>
      <xdr:rowOff>29520</xdr:rowOff>
    </xdr:from>
    <xdr:to>
      <xdr:col>33</xdr:col>
      <xdr:colOff>250920</xdr:colOff>
      <xdr:row>94</xdr:row>
      <xdr:rowOff>48960</xdr:rowOff>
    </xdr:to>
    <xdr:graphicFrame>
      <xdr:nvGraphicFramePr>
        <xdr:cNvPr id="3" name="Диаграмма 4"/>
        <xdr:cNvGraphicFramePr/>
      </xdr:nvGraphicFramePr>
      <xdr:xfrm>
        <a:off x="14972760" y="12548520"/>
        <a:ext cx="4832280" cy="334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5.57"/>
    <col collapsed="false" customWidth="true" hidden="false" outlineLevel="0" max="3" min="3" style="0" width="6.85"/>
    <col collapsed="false" customWidth="true" hidden="false" outlineLevel="0" max="4" min="4" style="0" width="7"/>
    <col collapsed="false" customWidth="true" hidden="false" outlineLevel="0" max="5" min="5" style="1" width="7"/>
    <col collapsed="false" customWidth="true" hidden="false" outlineLevel="0" max="6" min="6" style="2" width="6.57"/>
    <col collapsed="false" customWidth="true" hidden="false" outlineLevel="0" max="7" min="7" style="0" width="5.29"/>
    <col collapsed="false" customWidth="true" hidden="false" outlineLevel="0" max="8" min="8" style="0" width="8.15"/>
    <col collapsed="false" customWidth="true" hidden="false" outlineLevel="0" max="9" min="9" style="0" width="7.29"/>
    <col collapsed="false" customWidth="true" hidden="false" outlineLevel="0" max="10" min="10" style="0" width="7.42"/>
    <col collapsed="false" customWidth="true" hidden="false" outlineLevel="0" max="11" min="11" style="0" width="8.86"/>
    <col collapsed="false" customWidth="true" hidden="false" outlineLevel="0" max="12" min="12" style="0" width="9.71"/>
    <col collapsed="false" customWidth="true" hidden="false" outlineLevel="0" max="13" min="13" style="0" width="10.29"/>
    <col collapsed="false" customWidth="true" hidden="false" outlineLevel="0" max="14" min="14" style="0" width="8.86"/>
    <col collapsed="false" customWidth="true" hidden="false" outlineLevel="0" max="15" min="15" style="0" width="13.15"/>
    <col collapsed="false" customWidth="true" hidden="false" outlineLevel="0" max="16" min="16" style="0" width="9"/>
    <col collapsed="false" customWidth="true" hidden="false" outlineLevel="0" max="17" min="17" style="0" width="9.29"/>
    <col collapsed="false" customWidth="true" hidden="false" outlineLevel="0" max="18" min="18" style="0" width="9.86"/>
    <col collapsed="false" customWidth="true" hidden="false" outlineLevel="0" max="19" min="19" style="0" width="10.14"/>
    <col collapsed="false" customWidth="true" hidden="false" outlineLevel="0" max="20" min="20" style="0" width="6.29"/>
    <col collapsed="false" customWidth="true" hidden="false" outlineLevel="0" max="1025" min="21" style="0" width="9"/>
  </cols>
  <sheetData>
    <row r="1" customFormat="false" ht="12.75" hidden="false" customHeight="false" outlineLevel="0" collapsed="false">
      <c r="B1" s="3" t="s">
        <v>0</v>
      </c>
      <c r="C1" s="4" t="s">
        <v>1</v>
      </c>
      <c r="D1" s="3" t="s">
        <v>0</v>
      </c>
      <c r="E1" s="4" t="s">
        <v>1</v>
      </c>
      <c r="G1" s="0" t="s">
        <v>2</v>
      </c>
      <c r="H1" s="5" t="n">
        <f aca="false">MIN(B2:B101)</f>
        <v>158</v>
      </c>
      <c r="I1" s="0" t="s">
        <v>3</v>
      </c>
      <c r="J1" s="5" t="n">
        <f aca="false">MAX(B2:B101)</f>
        <v>187</v>
      </c>
      <c r="L1" s="6" t="s">
        <v>4</v>
      </c>
      <c r="M1" s="6"/>
      <c r="Q1" s="0" t="s">
        <v>5</v>
      </c>
    </row>
    <row r="2" customFormat="false" ht="12.75" hidden="false" customHeight="false" outlineLevel="0" collapsed="false">
      <c r="A2" s="0" t="n">
        <v>1</v>
      </c>
      <c r="B2" s="0" t="n">
        <v>165</v>
      </c>
      <c r="C2" s="0" t="n">
        <v>59</v>
      </c>
      <c r="D2" s="7" t="n">
        <v>158</v>
      </c>
      <c r="E2" s="1" t="n">
        <v>60</v>
      </c>
      <c r="F2" s="2" t="s">
        <v>6</v>
      </c>
      <c r="G2" s="0" t="s">
        <v>7</v>
      </c>
      <c r="H2" s="5" t="n">
        <f aca="false">J1-H1</f>
        <v>29</v>
      </c>
      <c r="I2" s="0" t="s">
        <v>8</v>
      </c>
      <c r="Q2" s="0" t="s">
        <v>9</v>
      </c>
    </row>
    <row r="3" customFormat="false" ht="12.75" hidden="false" customHeight="false" outlineLevel="0" collapsed="false">
      <c r="A3" s="0" t="n">
        <v>2</v>
      </c>
      <c r="B3" s="0" t="n">
        <v>161</v>
      </c>
      <c r="C3" s="0" t="n">
        <v>56</v>
      </c>
      <c r="D3" s="7" t="n">
        <v>159</v>
      </c>
      <c r="E3" s="1" t="n">
        <v>68</v>
      </c>
      <c r="G3" s="0" t="s">
        <v>10</v>
      </c>
      <c r="H3" s="0" t="n">
        <f aca="false">ROUND(1+3.32*LOG10(100),0)</f>
        <v>8</v>
      </c>
      <c r="Q3" s="0" t="s">
        <v>11</v>
      </c>
    </row>
    <row r="4" customFormat="false" ht="12.75" hidden="false" customHeight="false" outlineLevel="0" collapsed="false">
      <c r="A4" s="0" t="n">
        <v>3</v>
      </c>
      <c r="B4" s="0" t="n">
        <v>171</v>
      </c>
      <c r="C4" s="0" t="n">
        <v>72</v>
      </c>
      <c r="D4" s="7" t="n">
        <v>160</v>
      </c>
      <c r="E4" s="1" t="n">
        <v>60</v>
      </c>
      <c r="G4" s="0" t="s">
        <v>12</v>
      </c>
      <c r="H4" s="8" t="n">
        <f aca="false">H2/H3</f>
        <v>3.625</v>
      </c>
      <c r="Q4" s="0" t="s">
        <v>13</v>
      </c>
    </row>
    <row r="5" customFormat="false" ht="12.75" hidden="false" customHeight="false" outlineLevel="0" collapsed="false">
      <c r="A5" s="0" t="n">
        <v>4</v>
      </c>
      <c r="B5" s="0" t="n">
        <v>179</v>
      </c>
      <c r="C5" s="0" t="n">
        <v>77</v>
      </c>
      <c r="D5" s="7" t="n">
        <v>160</v>
      </c>
      <c r="E5" s="1" t="n">
        <v>50</v>
      </c>
      <c r="O5" s="0" t="s">
        <v>14</v>
      </c>
      <c r="Q5" s="0" t="s">
        <v>15</v>
      </c>
    </row>
    <row r="6" customFormat="false" ht="12.75" hidden="false" customHeight="false" outlineLevel="0" collapsed="false">
      <c r="A6" s="0" t="n">
        <v>5</v>
      </c>
      <c r="B6" s="0" t="n">
        <v>161</v>
      </c>
      <c r="C6" s="0" t="n">
        <v>58</v>
      </c>
      <c r="D6" s="7" t="n">
        <v>161</v>
      </c>
      <c r="E6" s="1" t="n">
        <v>56</v>
      </c>
      <c r="G6" s="9"/>
      <c r="H6" s="10" t="s">
        <v>16</v>
      </c>
      <c r="I6" s="10" t="s">
        <v>17</v>
      </c>
      <c r="J6" s="10" t="s">
        <v>18</v>
      </c>
      <c r="K6" s="10" t="s">
        <v>19</v>
      </c>
      <c r="L6" s="10" t="s">
        <v>20</v>
      </c>
      <c r="M6" s="11" t="s">
        <v>21</v>
      </c>
      <c r="N6" s="3" t="s">
        <v>22</v>
      </c>
      <c r="O6" s="11" t="s">
        <v>23</v>
      </c>
      <c r="Q6" s="0" t="s">
        <v>24</v>
      </c>
    </row>
    <row r="7" customFormat="false" ht="12.75" hidden="false" customHeight="false" outlineLevel="0" collapsed="false">
      <c r="A7" s="0" t="n">
        <v>6</v>
      </c>
      <c r="B7" s="0" t="n">
        <v>165</v>
      </c>
      <c r="C7" s="0" t="n">
        <v>57</v>
      </c>
      <c r="D7" s="7" t="n">
        <v>161</v>
      </c>
      <c r="E7" s="1" t="n">
        <v>58</v>
      </c>
      <c r="G7" s="9" t="n">
        <v>1</v>
      </c>
      <c r="H7" s="12" t="n">
        <f aca="false">$H$1</f>
        <v>158</v>
      </c>
      <c r="I7" s="12" t="n">
        <f aca="false">H7+$H$4</f>
        <v>161.625</v>
      </c>
      <c r="J7" s="3" t="n">
        <f aca="false">COUNTIF($B$2:$B$101,"&lt;=161,63")</f>
        <v>9</v>
      </c>
      <c r="K7" s="3" t="n">
        <f aca="false">J7</f>
        <v>9</v>
      </c>
      <c r="L7" s="12" t="n">
        <f aca="false">(H7+I7)/2</f>
        <v>159.8125</v>
      </c>
      <c r="M7" s="3" t="n">
        <f aca="false">J7/100</f>
        <v>0.09</v>
      </c>
      <c r="N7" s="3" t="n">
        <f aca="false">K7/100</f>
        <v>0.09</v>
      </c>
      <c r="O7" s="13" t="n">
        <f aca="false">M7/$H$4</f>
        <v>0.0248275862068966</v>
      </c>
      <c r="Q7" s="0" t="s">
        <v>25</v>
      </c>
    </row>
    <row r="8" customFormat="false" ht="12.75" hidden="false" customHeight="false" outlineLevel="0" collapsed="false">
      <c r="A8" s="0" t="n">
        <v>7</v>
      </c>
      <c r="B8" s="0" t="n">
        <v>178</v>
      </c>
      <c r="C8" s="0" t="n">
        <v>62</v>
      </c>
      <c r="D8" s="7" t="n">
        <v>161</v>
      </c>
      <c r="E8" s="1" t="n">
        <v>66</v>
      </c>
      <c r="G8" s="9" t="n">
        <v>2</v>
      </c>
      <c r="H8" s="12" t="n">
        <f aca="false">I7</f>
        <v>161.625</v>
      </c>
      <c r="I8" s="12" t="n">
        <f aca="false">H8+$H$4</f>
        <v>165.25</v>
      </c>
      <c r="J8" s="14" t="n">
        <f aca="false">COUNTIF($B$2:$B$101,"&lt;=165,25")-J7</f>
        <v>22</v>
      </c>
      <c r="K8" s="14" t="n">
        <f aca="false">J8+K7</f>
        <v>31</v>
      </c>
      <c r="L8" s="12" t="n">
        <f aca="false">(H8+I8)/2</f>
        <v>163.4375</v>
      </c>
      <c r="M8" s="3" t="n">
        <f aca="false">J8/100</f>
        <v>0.22</v>
      </c>
      <c r="N8" s="3" t="n">
        <f aca="false">K8/100</f>
        <v>0.31</v>
      </c>
      <c r="O8" s="13" t="n">
        <f aca="false">M8/$H$4</f>
        <v>0.0606896551724138</v>
      </c>
      <c r="Q8" s="0" t="s">
        <v>26</v>
      </c>
    </row>
    <row r="9" customFormat="false" ht="12.75" hidden="false" customHeight="false" outlineLevel="0" collapsed="false">
      <c r="A9" s="0" t="n">
        <v>8</v>
      </c>
      <c r="B9" s="0" t="n">
        <v>166</v>
      </c>
      <c r="C9" s="0" t="n">
        <v>60</v>
      </c>
      <c r="D9" s="7" t="n">
        <v>161</v>
      </c>
      <c r="E9" s="1" t="n">
        <v>52</v>
      </c>
      <c r="G9" s="9" t="n">
        <v>3</v>
      </c>
      <c r="H9" s="12" t="n">
        <f aca="false">I8</f>
        <v>165.25</v>
      </c>
      <c r="I9" s="12" t="n">
        <f aca="false">H9+$H$4</f>
        <v>168.875</v>
      </c>
      <c r="J9" s="14" t="n">
        <f aca="false">COUNTIF($B$2:$B$101,"&lt;=168,88")-J8-J7</f>
        <v>20</v>
      </c>
      <c r="K9" s="14" t="n">
        <f aca="false">J9+K8</f>
        <v>51</v>
      </c>
      <c r="L9" s="12" t="n">
        <f aca="false">(H9+I9)/2</f>
        <v>167.0625</v>
      </c>
      <c r="M9" s="3" t="n">
        <f aca="false">J9/100</f>
        <v>0.2</v>
      </c>
      <c r="N9" s="3" t="n">
        <f aca="false">K9/100</f>
        <v>0.51</v>
      </c>
      <c r="O9" s="13" t="n">
        <f aca="false">M9/$H$4</f>
        <v>0.0551724137931035</v>
      </c>
      <c r="Q9" s="0" t="s">
        <v>27</v>
      </c>
    </row>
    <row r="10" customFormat="false" ht="12.75" hidden="false" customHeight="false" outlineLevel="0" collapsed="false">
      <c r="A10" s="0" t="n">
        <v>9</v>
      </c>
      <c r="B10" s="0" t="n">
        <v>161</v>
      </c>
      <c r="C10" s="0" t="n">
        <v>66</v>
      </c>
      <c r="D10" s="7" t="n">
        <v>161</v>
      </c>
      <c r="E10" s="1" t="n">
        <v>52</v>
      </c>
      <c r="G10" s="9" t="n">
        <v>4</v>
      </c>
      <c r="H10" s="12" t="n">
        <f aca="false">I9</f>
        <v>168.875</v>
      </c>
      <c r="I10" s="12" t="n">
        <f aca="false">H10+$H$4</f>
        <v>172.5</v>
      </c>
      <c r="J10" s="14" t="n">
        <f aca="false">COUNTIF($B$2:$B$101,"&lt;=172,5")-J9-J8-J7</f>
        <v>24</v>
      </c>
      <c r="K10" s="14" t="n">
        <f aca="false">J10+K9</f>
        <v>75</v>
      </c>
      <c r="L10" s="12" t="n">
        <f aca="false">(H10+I10)/2</f>
        <v>170.6875</v>
      </c>
      <c r="M10" s="3" t="n">
        <f aca="false">J10/100</f>
        <v>0.24</v>
      </c>
      <c r="N10" s="3" t="n">
        <f aca="false">K10/100</f>
        <v>0.75</v>
      </c>
      <c r="O10" s="13" t="n">
        <f aca="false">M10/$H$4</f>
        <v>0.0662068965517241</v>
      </c>
      <c r="Q10" s="0" t="s">
        <v>28</v>
      </c>
    </row>
    <row r="11" customFormat="false" ht="12.75" hidden="false" customHeight="false" outlineLevel="0" collapsed="false">
      <c r="A11" s="0" t="n">
        <v>10</v>
      </c>
      <c r="B11" s="0" t="n">
        <v>165</v>
      </c>
      <c r="C11" s="0" t="n">
        <v>68</v>
      </c>
      <c r="D11" s="15" t="n">
        <v>162</v>
      </c>
      <c r="E11" s="1" t="n">
        <v>53</v>
      </c>
      <c r="F11" s="2" t="s">
        <v>29</v>
      </c>
      <c r="G11" s="9" t="n">
        <v>5</v>
      </c>
      <c r="H11" s="12" t="n">
        <f aca="false">I10</f>
        <v>172.5</v>
      </c>
      <c r="I11" s="12" t="n">
        <f aca="false">H11+$H$4</f>
        <v>176.125</v>
      </c>
      <c r="J11" s="14" t="n">
        <f aca="false">COUNTIF($B$2:$B$101,"&lt;=176,13")-J10-J9-J8-J7</f>
        <v>16</v>
      </c>
      <c r="K11" s="14" t="n">
        <f aca="false">J11+K10</f>
        <v>91</v>
      </c>
      <c r="L11" s="12" t="n">
        <f aca="false">(H11+I11)/2</f>
        <v>174.3125</v>
      </c>
      <c r="M11" s="3" t="n">
        <f aca="false">J11/100</f>
        <v>0.16</v>
      </c>
      <c r="N11" s="3" t="n">
        <f aca="false">K11/100</f>
        <v>0.91</v>
      </c>
      <c r="O11" s="13" t="n">
        <f aca="false">M11/$H$4</f>
        <v>0.0441379310344828</v>
      </c>
      <c r="Q11" s="0" t="s">
        <v>30</v>
      </c>
    </row>
    <row r="12" customFormat="false" ht="12.75" hidden="false" customHeight="false" outlineLevel="0" collapsed="false">
      <c r="A12" s="0" t="n">
        <v>11</v>
      </c>
      <c r="B12" s="0" t="n">
        <v>187</v>
      </c>
      <c r="C12" s="0" t="n">
        <v>84</v>
      </c>
      <c r="D12" s="15" t="n">
        <v>162</v>
      </c>
      <c r="E12" s="1" t="n">
        <v>61</v>
      </c>
      <c r="G12" s="9" t="n">
        <v>6</v>
      </c>
      <c r="H12" s="12" t="n">
        <f aca="false">I11</f>
        <v>176.125</v>
      </c>
      <c r="I12" s="12" t="n">
        <f aca="false">H12+$H$4</f>
        <v>179.75</v>
      </c>
      <c r="J12" s="14" t="n">
        <f aca="false">COUNTIF($B$2:$B$101,"&lt;=179,75")-SUM(J7:J11)</f>
        <v>5</v>
      </c>
      <c r="K12" s="14" t="n">
        <f aca="false">J12+K11</f>
        <v>96</v>
      </c>
      <c r="L12" s="12" t="n">
        <f aca="false">(H12+I12)/2</f>
        <v>177.9375</v>
      </c>
      <c r="M12" s="3" t="n">
        <f aca="false">J12/100</f>
        <v>0.05</v>
      </c>
      <c r="N12" s="3" t="n">
        <f aca="false">K12/100</f>
        <v>0.96</v>
      </c>
      <c r="O12" s="13" t="n">
        <f aca="false">M12/$H$4</f>
        <v>0.0137931034482759</v>
      </c>
      <c r="Q12" s="0" t="s">
        <v>31</v>
      </c>
    </row>
    <row r="13" customFormat="false" ht="12.75" hidden="false" customHeight="false" outlineLevel="0" collapsed="false">
      <c r="A13" s="0" t="n">
        <v>12</v>
      </c>
      <c r="B13" s="0" t="n">
        <v>165</v>
      </c>
      <c r="C13" s="0" t="n">
        <v>63</v>
      </c>
      <c r="D13" s="15" t="n">
        <v>162</v>
      </c>
      <c r="E13" s="1" t="n">
        <v>56</v>
      </c>
      <c r="G13" s="9" t="n">
        <v>7</v>
      </c>
      <c r="H13" s="12" t="n">
        <f aca="false">I12</f>
        <v>179.75</v>
      </c>
      <c r="I13" s="12" t="n">
        <f aca="false">H13+$H$4</f>
        <v>183.375</v>
      </c>
      <c r="J13" s="14" t="n">
        <f aca="false">COUNTIF($B$2:$B$101,"&lt;=183,38")-SUM(J7:J12)</f>
        <v>3</v>
      </c>
      <c r="K13" s="14" t="n">
        <f aca="false">J13+K12</f>
        <v>99</v>
      </c>
      <c r="L13" s="12" t="n">
        <f aca="false">(H13+I13)/2</f>
        <v>181.5625</v>
      </c>
      <c r="M13" s="3" t="n">
        <f aca="false">J13/100</f>
        <v>0.03</v>
      </c>
      <c r="N13" s="3" t="n">
        <f aca="false">K13/100</f>
        <v>0.99</v>
      </c>
      <c r="O13" s="13" t="n">
        <f aca="false">M13/$H$4</f>
        <v>0.00827586206896552</v>
      </c>
    </row>
    <row r="14" customFormat="false" ht="12.75" hidden="false" customHeight="false" outlineLevel="0" collapsed="false">
      <c r="A14" s="0" t="n">
        <v>13</v>
      </c>
      <c r="B14" s="0" t="n">
        <v>173</v>
      </c>
      <c r="C14" s="0" t="n">
        <v>70</v>
      </c>
      <c r="D14" s="15" t="n">
        <v>162</v>
      </c>
      <c r="E14" s="1" t="n">
        <v>53</v>
      </c>
      <c r="G14" s="9" t="n">
        <v>8</v>
      </c>
      <c r="H14" s="12" t="n">
        <f aca="false">I13</f>
        <v>183.375</v>
      </c>
      <c r="I14" s="12" t="n">
        <f aca="false">H14+$H$4</f>
        <v>187</v>
      </c>
      <c r="J14" s="14" t="n">
        <f aca="false">COUNTIF($B$2:$B$101,"&lt;=187")-SUM(J7:J13)</f>
        <v>1</v>
      </c>
      <c r="K14" s="14" t="n">
        <f aca="false">J14+K13</f>
        <v>100</v>
      </c>
      <c r="L14" s="12" t="n">
        <f aca="false">(H14+I14)/2</f>
        <v>185.1875</v>
      </c>
      <c r="M14" s="3" t="n">
        <f aca="false">J14/100</f>
        <v>0.01</v>
      </c>
      <c r="N14" s="3" t="n">
        <f aca="false">K14/100</f>
        <v>1</v>
      </c>
      <c r="O14" s="13" t="n">
        <f aca="false">M14/$H$4</f>
        <v>0.00275862068965517</v>
      </c>
    </row>
    <row r="15" customFormat="false" ht="12.75" hidden="false" customHeight="false" outlineLevel="0" collapsed="false">
      <c r="A15" s="0" t="n">
        <v>14</v>
      </c>
      <c r="B15" s="0" t="n">
        <v>171</v>
      </c>
      <c r="C15" s="0" t="n">
        <v>67</v>
      </c>
      <c r="D15" s="15" t="n">
        <v>163</v>
      </c>
      <c r="E15" s="1" t="n">
        <v>64</v>
      </c>
      <c r="G15" s="9"/>
      <c r="H15" s="12"/>
      <c r="I15" s="12"/>
      <c r="J15" s="3" t="n">
        <f aca="false">SUM(J7:J14)</f>
        <v>100</v>
      </c>
      <c r="K15" s="10" t="s">
        <v>32</v>
      </c>
      <c r="L15" s="10" t="s">
        <v>32</v>
      </c>
      <c r="M15" s="3" t="n">
        <f aca="false">SUM(M7:M14)</f>
        <v>1</v>
      </c>
      <c r="N15" s="3"/>
      <c r="O15" s="3"/>
    </row>
    <row r="16" customFormat="false" ht="12.75" hidden="false" customHeight="false" outlineLevel="0" collapsed="false">
      <c r="A16" s="0" t="n">
        <v>15</v>
      </c>
      <c r="B16" s="0" t="n">
        <v>169</v>
      </c>
      <c r="C16" s="0" t="n">
        <v>73</v>
      </c>
      <c r="D16" s="15" t="n">
        <v>163</v>
      </c>
      <c r="E16" s="1" t="n">
        <v>63</v>
      </c>
    </row>
    <row r="17" customFormat="false" ht="12.75" hidden="false" customHeight="false" outlineLevel="0" collapsed="false">
      <c r="A17" s="0" t="n">
        <v>16</v>
      </c>
      <c r="B17" s="0" t="n">
        <v>173</v>
      </c>
      <c r="C17" s="0" t="n">
        <v>75</v>
      </c>
      <c r="D17" s="15" t="n">
        <v>163</v>
      </c>
      <c r="E17" s="1" t="n">
        <v>72</v>
      </c>
      <c r="G17" s="0" t="s">
        <v>33</v>
      </c>
      <c r="H17" s="5" t="n">
        <f aca="false">$K$27</f>
        <v>168.8025</v>
      </c>
      <c r="I17" s="5"/>
    </row>
    <row r="18" customFormat="false" ht="16.75" hidden="false" customHeight="false" outlineLevel="0" collapsed="false">
      <c r="A18" s="0" t="n">
        <v>17</v>
      </c>
      <c r="B18" s="0" t="n">
        <v>164</v>
      </c>
      <c r="C18" s="0" t="n">
        <v>61</v>
      </c>
      <c r="D18" s="15" t="n">
        <v>164</v>
      </c>
      <c r="E18" s="1" t="n">
        <v>61</v>
      </c>
      <c r="H18" s="10" t="s">
        <v>20</v>
      </c>
      <c r="I18" s="11" t="s">
        <v>34</v>
      </c>
      <c r="J18" s="16" t="s">
        <v>35</v>
      </c>
      <c r="K18" s="10" t="s">
        <v>36</v>
      </c>
      <c r="L18" s="17" t="s">
        <v>37</v>
      </c>
      <c r="M18" s="17" t="s">
        <v>38</v>
      </c>
      <c r="N18" s="17" t="s">
        <v>39</v>
      </c>
      <c r="O18" s="17" t="s">
        <v>40</v>
      </c>
    </row>
    <row r="19" customFormat="false" ht="12.75" hidden="false" customHeight="false" outlineLevel="0" collapsed="false">
      <c r="A19" s="0" t="n">
        <v>18</v>
      </c>
      <c r="B19" s="0" t="n">
        <v>169</v>
      </c>
      <c r="C19" s="0" t="n">
        <v>60</v>
      </c>
      <c r="D19" s="15" t="n">
        <v>164</v>
      </c>
      <c r="E19" s="1" t="n">
        <v>59</v>
      </c>
      <c r="G19" s="9" t="n">
        <v>1</v>
      </c>
      <c r="H19" s="12" t="n">
        <f aca="false">L7</f>
        <v>159.8125</v>
      </c>
      <c r="I19" s="3" t="n">
        <f aca="false">M7</f>
        <v>0.09</v>
      </c>
      <c r="J19" s="5" t="n">
        <f aca="false">H19-$K$27</f>
        <v>-8.99000000000001</v>
      </c>
      <c r="K19" s="5" t="n">
        <f aca="false">H19*I19</f>
        <v>14.383125</v>
      </c>
      <c r="L19" s="5" t="n">
        <f aca="false">I19*J19</f>
        <v>-0.809100000000001</v>
      </c>
      <c r="M19" s="5" t="n">
        <f aca="false">L19*J19</f>
        <v>7.27380900000002</v>
      </c>
      <c r="N19" s="18" t="n">
        <f aca="false">M19*J19</f>
        <v>-65.3915429100002</v>
      </c>
      <c r="O19" s="19" t="n">
        <f aca="false">N19*J19</f>
        <v>587.869970760902</v>
      </c>
    </row>
    <row r="20" customFormat="false" ht="12.75" hidden="false" customHeight="false" outlineLevel="0" collapsed="false">
      <c r="A20" s="0" t="n">
        <v>19</v>
      </c>
      <c r="B20" s="0" t="n">
        <v>162</v>
      </c>
      <c r="C20" s="0" t="n">
        <v>53</v>
      </c>
      <c r="D20" s="15" t="n">
        <v>164</v>
      </c>
      <c r="E20" s="1" t="n">
        <v>59</v>
      </c>
      <c r="G20" s="9" t="n">
        <v>2</v>
      </c>
      <c r="H20" s="12" t="n">
        <f aca="false">L8</f>
        <v>163.4375</v>
      </c>
      <c r="I20" s="3" t="n">
        <f aca="false">M8</f>
        <v>0.22</v>
      </c>
      <c r="J20" s="5" t="n">
        <f aca="false">H20-$K$27</f>
        <v>-5.36500000000001</v>
      </c>
      <c r="K20" s="5" t="n">
        <f aca="false">H20*I20</f>
        <v>35.95625</v>
      </c>
      <c r="L20" s="5" t="n">
        <f aca="false">I20*J20</f>
        <v>-1.1803</v>
      </c>
      <c r="M20" s="5" t="n">
        <f aca="false">L20*J20</f>
        <v>6.33230950000002</v>
      </c>
      <c r="N20" s="18" t="n">
        <f aca="false">M20*J20</f>
        <v>-33.9728404675002</v>
      </c>
      <c r="O20" s="19" t="n">
        <f aca="false">N20*J20</f>
        <v>182.264289108139</v>
      </c>
    </row>
    <row r="21" customFormat="false" ht="12.75" hidden="false" customHeight="false" outlineLevel="0" collapsed="false">
      <c r="A21" s="0" t="n">
        <v>20</v>
      </c>
      <c r="B21" s="0" t="n">
        <v>166</v>
      </c>
      <c r="C21" s="0" t="n">
        <v>55</v>
      </c>
      <c r="D21" s="15" t="n">
        <v>164</v>
      </c>
      <c r="E21" s="1" t="n">
        <v>60</v>
      </c>
      <c r="G21" s="9" t="n">
        <v>3</v>
      </c>
      <c r="H21" s="12" t="n">
        <f aca="false">L9</f>
        <v>167.0625</v>
      </c>
      <c r="I21" s="3" t="n">
        <f aca="false">M9</f>
        <v>0.2</v>
      </c>
      <c r="J21" s="5" t="n">
        <f aca="false">H21-$K$27</f>
        <v>-1.74000000000001</v>
      </c>
      <c r="K21" s="5" t="n">
        <f aca="false">H21*I21</f>
        <v>33.4125</v>
      </c>
      <c r="L21" s="5" t="n">
        <f aca="false">I21*J21</f>
        <v>-0.348000000000002</v>
      </c>
      <c r="M21" s="5" t="n">
        <f aca="false">L21*J21</f>
        <v>0.605520000000006</v>
      </c>
      <c r="N21" s="18" t="n">
        <f aca="false">M21*J21</f>
        <v>-1.05360480000002</v>
      </c>
      <c r="O21" s="19" t="n">
        <f aca="false">N21*J21</f>
        <v>1.83327235200004</v>
      </c>
    </row>
    <row r="22" customFormat="false" ht="12.75" hidden="false" customHeight="false" outlineLevel="0" collapsed="false">
      <c r="A22" s="0" t="n">
        <v>21</v>
      </c>
      <c r="B22" s="0" t="n">
        <v>173</v>
      </c>
      <c r="C22" s="0" t="n">
        <v>69</v>
      </c>
      <c r="D22" s="15" t="n">
        <v>164</v>
      </c>
      <c r="E22" s="1" t="n">
        <v>61</v>
      </c>
      <c r="G22" s="9" t="n">
        <v>4</v>
      </c>
      <c r="H22" s="12" t="n">
        <f aca="false">L10</f>
        <v>170.6875</v>
      </c>
      <c r="I22" s="3" t="n">
        <f aca="false">M10</f>
        <v>0.24</v>
      </c>
      <c r="J22" s="5" t="n">
        <f aca="false">H22-$K$27</f>
        <v>1.88499999999999</v>
      </c>
      <c r="K22" s="5" t="n">
        <f aca="false">H22*I22</f>
        <v>40.965</v>
      </c>
      <c r="L22" s="5" t="n">
        <f aca="false">I22*J22</f>
        <v>0.452399999999998</v>
      </c>
      <c r="M22" s="5" t="n">
        <f aca="false">L22*J22</f>
        <v>0.852773999999992</v>
      </c>
      <c r="N22" s="18" t="n">
        <f aca="false">M22*J22</f>
        <v>1.60747898999998</v>
      </c>
      <c r="O22" s="19" t="n">
        <f aca="false">N22*J22</f>
        <v>3.03009789614994</v>
      </c>
    </row>
    <row r="23" customFormat="false" ht="12.75" hidden="false" customHeight="false" outlineLevel="0" collapsed="false">
      <c r="A23" s="0" t="n">
        <v>22</v>
      </c>
      <c r="B23" s="0" t="n">
        <v>166</v>
      </c>
      <c r="C23" s="0" t="n">
        <v>67</v>
      </c>
      <c r="D23" s="15" t="n">
        <v>164</v>
      </c>
      <c r="E23" s="1" t="n">
        <v>61</v>
      </c>
      <c r="F23" s="2" t="s">
        <v>41</v>
      </c>
      <c r="G23" s="9" t="n">
        <v>5</v>
      </c>
      <c r="H23" s="12" t="n">
        <f aca="false">L11</f>
        <v>174.3125</v>
      </c>
      <c r="I23" s="3" t="n">
        <f aca="false">M11</f>
        <v>0.16</v>
      </c>
      <c r="J23" s="5" t="n">
        <f aca="false">H23-$K$27</f>
        <v>5.50999999999999</v>
      </c>
      <c r="K23" s="5" t="n">
        <f aca="false">H23*I23</f>
        <v>27.89</v>
      </c>
      <c r="L23" s="5" t="n">
        <f aca="false">I23*J23</f>
        <v>0.881599999999999</v>
      </c>
      <c r="M23" s="5" t="n">
        <f aca="false">L23*J23</f>
        <v>4.85761599999998</v>
      </c>
      <c r="N23" s="18" t="n">
        <f aca="false">M23*J23</f>
        <v>26.7654641599999</v>
      </c>
      <c r="O23" s="19" t="n">
        <f aca="false">N23*J23</f>
        <v>147.477707521599</v>
      </c>
    </row>
    <row r="24" customFormat="false" ht="12.75" hidden="false" customHeight="false" outlineLevel="0" collapsed="false">
      <c r="A24" s="0" t="n">
        <v>23</v>
      </c>
      <c r="B24" s="0" t="n">
        <v>166</v>
      </c>
      <c r="C24" s="0" t="n">
        <v>55</v>
      </c>
      <c r="D24" s="15" t="n">
        <v>164</v>
      </c>
      <c r="E24" s="1" t="n">
        <v>62</v>
      </c>
      <c r="G24" s="9" t="n">
        <v>6</v>
      </c>
      <c r="H24" s="12" t="n">
        <f aca="false">L12</f>
        <v>177.9375</v>
      </c>
      <c r="I24" s="3" t="n">
        <f aca="false">M12</f>
        <v>0.05</v>
      </c>
      <c r="J24" s="5" t="n">
        <f aca="false">H24-$K$27</f>
        <v>9.13499999999999</v>
      </c>
      <c r="K24" s="5" t="n">
        <f aca="false">H24*I24</f>
        <v>8.896875</v>
      </c>
      <c r="L24" s="5" t="n">
        <f aca="false">I24*J24</f>
        <v>0.45675</v>
      </c>
      <c r="M24" s="5" t="n">
        <f aca="false">L24*J24</f>
        <v>4.17241124999999</v>
      </c>
      <c r="N24" s="18" t="n">
        <f aca="false">M24*J24</f>
        <v>38.1149767687499</v>
      </c>
      <c r="O24" s="19" t="n">
        <f aca="false">N24*J24</f>
        <v>348.18031278253</v>
      </c>
    </row>
    <row r="25" customFormat="false" ht="12.75" hidden="false" customHeight="false" outlineLevel="0" collapsed="false">
      <c r="A25" s="0" t="n">
        <v>24</v>
      </c>
      <c r="B25" s="0" t="n">
        <v>170</v>
      </c>
      <c r="C25" s="0" t="n">
        <v>73</v>
      </c>
      <c r="D25" s="15" t="n">
        <v>164</v>
      </c>
      <c r="E25" s="1" t="n">
        <v>57</v>
      </c>
      <c r="G25" s="9" t="n">
        <v>7</v>
      </c>
      <c r="H25" s="12" t="n">
        <f aca="false">L13</f>
        <v>181.5625</v>
      </c>
      <c r="I25" s="3" t="n">
        <f aca="false">M13</f>
        <v>0.03</v>
      </c>
      <c r="J25" s="5" t="n">
        <f aca="false">H25-$K$27</f>
        <v>12.76</v>
      </c>
      <c r="K25" s="5" t="n">
        <f aca="false">H25*I25</f>
        <v>5.446875</v>
      </c>
      <c r="L25" s="5" t="n">
        <f aca="false">I25*J25</f>
        <v>0.3828</v>
      </c>
      <c r="M25" s="5" t="n">
        <f aca="false">L25*J25</f>
        <v>4.88452799999999</v>
      </c>
      <c r="N25" s="18" t="n">
        <f aca="false">M25*J25</f>
        <v>62.3265772799999</v>
      </c>
      <c r="O25" s="19" t="n">
        <f aca="false">N25*J25</f>
        <v>795.287126092798</v>
      </c>
    </row>
    <row r="26" customFormat="false" ht="12.75" hidden="false" customHeight="false" outlineLevel="0" collapsed="false">
      <c r="A26" s="0" t="n">
        <v>25</v>
      </c>
      <c r="B26" s="0" t="n">
        <v>165</v>
      </c>
      <c r="C26" s="0" t="n">
        <v>68</v>
      </c>
      <c r="D26" s="15" t="n">
        <v>165</v>
      </c>
      <c r="E26" s="1" t="n">
        <v>59</v>
      </c>
      <c r="G26" s="9" t="n">
        <v>8</v>
      </c>
      <c r="H26" s="12" t="n">
        <f aca="false">L14</f>
        <v>185.1875</v>
      </c>
      <c r="I26" s="3" t="n">
        <f aca="false">M14</f>
        <v>0.01</v>
      </c>
      <c r="J26" s="5" t="n">
        <f aca="false">H26-$K$27</f>
        <v>16.385</v>
      </c>
      <c r="K26" s="5" t="n">
        <f aca="false">H26*I26</f>
        <v>1.851875</v>
      </c>
      <c r="L26" s="5" t="n">
        <f aca="false">I26*J26</f>
        <v>0.16385</v>
      </c>
      <c r="M26" s="5" t="n">
        <f aca="false">L26*J26</f>
        <v>2.68468225</v>
      </c>
      <c r="N26" s="18" t="n">
        <f aca="false">M26*J26</f>
        <v>43.9885186662499</v>
      </c>
      <c r="O26" s="19" t="n">
        <f aca="false">N26*J26</f>
        <v>720.751878346505</v>
      </c>
    </row>
    <row r="27" customFormat="false" ht="12.75" hidden="false" customHeight="false" outlineLevel="0" collapsed="false">
      <c r="A27" s="0" t="n">
        <v>26</v>
      </c>
      <c r="B27" s="0" t="n">
        <v>168</v>
      </c>
      <c r="C27" s="0" t="n">
        <v>62</v>
      </c>
      <c r="D27" s="15" t="n">
        <v>165</v>
      </c>
      <c r="E27" s="1" t="n">
        <v>57</v>
      </c>
      <c r="J27" s="0" t="s">
        <v>33</v>
      </c>
      <c r="K27" s="20" t="n">
        <f aca="false">SUM(K19:K26)</f>
        <v>168.8025</v>
      </c>
      <c r="L27" s="20" t="n">
        <f aca="false">SUM(L19:L26)</f>
        <v>-9.13158437754191E-015</v>
      </c>
      <c r="M27" s="20" t="n">
        <f aca="false">SUM(M19:M26)</f>
        <v>31.66365</v>
      </c>
      <c r="N27" s="20" t="n">
        <f aca="false">SUM(N19:N26)</f>
        <v>72.3850276874991</v>
      </c>
      <c r="O27" s="21" t="n">
        <f aca="false">SUM(O19:O26)</f>
        <v>2786.69465486062</v>
      </c>
    </row>
    <row r="28" customFormat="false" ht="12.75" hidden="false" customHeight="false" outlineLevel="0" collapsed="false">
      <c r="A28" s="0" t="n">
        <v>27</v>
      </c>
      <c r="B28" s="0" t="n">
        <v>163</v>
      </c>
      <c r="C28" s="0" t="n">
        <v>64</v>
      </c>
      <c r="D28" s="15" t="n">
        <v>165</v>
      </c>
      <c r="E28" s="1" t="n">
        <v>68</v>
      </c>
      <c r="G28" s="16" t="s">
        <v>42</v>
      </c>
      <c r="H28" s="8" t="n">
        <f aca="false">M27</f>
        <v>31.66365</v>
      </c>
      <c r="I28" s="16" t="s">
        <v>43</v>
      </c>
      <c r="J28" s="0" t="n">
        <f aca="false">N27</f>
        <v>72.3850276874991</v>
      </c>
      <c r="K28" s="16" t="s">
        <v>44</v>
      </c>
      <c r="L28" s="0" t="n">
        <f aca="false">O27</f>
        <v>2786.69465486062</v>
      </c>
    </row>
    <row r="29" customFormat="false" ht="12.75" hidden="false" customHeight="false" outlineLevel="0" collapsed="false">
      <c r="A29" s="0" t="n">
        <v>28</v>
      </c>
      <c r="B29" s="0" t="n">
        <v>164</v>
      </c>
      <c r="C29" s="0" t="n">
        <v>59</v>
      </c>
      <c r="D29" s="15" t="n">
        <v>165</v>
      </c>
      <c r="E29" s="1" t="n">
        <v>63</v>
      </c>
      <c r="G29" s="0" t="s">
        <v>45</v>
      </c>
      <c r="H29" s="8" t="n">
        <f aca="false">H28</f>
        <v>31.66365</v>
      </c>
      <c r="I29" s="0" t="s">
        <v>46</v>
      </c>
    </row>
    <row r="30" customFormat="false" ht="12.75" hidden="false" customHeight="false" outlineLevel="0" collapsed="false">
      <c r="A30" s="0" t="n">
        <v>29</v>
      </c>
      <c r="B30" s="0" t="n">
        <v>176</v>
      </c>
      <c r="C30" s="0" t="n">
        <v>70</v>
      </c>
      <c r="D30" s="15" t="n">
        <v>165</v>
      </c>
      <c r="E30" s="1" t="n">
        <v>68</v>
      </c>
      <c r="G30" s="0" t="s">
        <v>47</v>
      </c>
      <c r="H30" s="8" t="n">
        <f aca="false">SQRT(H29)</f>
        <v>5.62704629446035</v>
      </c>
      <c r="I30" s="0" t="s">
        <v>48</v>
      </c>
      <c r="K30" s="0" t="n">
        <f aca="false">100/99*H29</f>
        <v>31.9834848484849</v>
      </c>
      <c r="L30" s="0" t="s">
        <v>49</v>
      </c>
      <c r="M30" s="8" t="n">
        <f aca="false">K30^0.5</f>
        <v>5.65539431414688</v>
      </c>
    </row>
    <row r="31" customFormat="false" ht="12.75" hidden="false" customHeight="false" outlineLevel="0" collapsed="false">
      <c r="A31" s="0" t="n">
        <v>30</v>
      </c>
      <c r="B31" s="0" t="n">
        <v>166</v>
      </c>
      <c r="C31" s="0" t="n">
        <v>63</v>
      </c>
      <c r="D31" s="15" t="n">
        <v>165</v>
      </c>
      <c r="E31" s="1" t="n">
        <v>63</v>
      </c>
      <c r="G31" s="0" t="s">
        <v>50</v>
      </c>
      <c r="H31" s="8" t="n">
        <f aca="false">J28/(H30^3)</f>
        <v>0.406263008573901</v>
      </c>
      <c r="K31" s="0" t="s">
        <v>51</v>
      </c>
      <c r="L31" s="0" t="n">
        <v>1.96</v>
      </c>
    </row>
    <row r="32" customFormat="false" ht="12.75" hidden="false" customHeight="false" outlineLevel="0" collapsed="false">
      <c r="A32" s="0" t="n">
        <v>31</v>
      </c>
      <c r="B32" s="0" t="n">
        <v>167</v>
      </c>
      <c r="C32" s="0" t="n">
        <v>64</v>
      </c>
      <c r="D32" s="15" t="n">
        <v>165</v>
      </c>
      <c r="E32" s="1" t="n">
        <v>64</v>
      </c>
      <c r="G32" s="0" t="s">
        <v>52</v>
      </c>
      <c r="H32" s="8" t="n">
        <f aca="false">L28/(H30^4)-3</f>
        <v>-0.22049517732523</v>
      </c>
      <c r="J32" s="0" t="s">
        <v>14</v>
      </c>
      <c r="K32" s="0" t="s">
        <v>53</v>
      </c>
      <c r="L32" s="0" t="n">
        <f aca="false">M30*L31/10</f>
        <v>1.10845728557279</v>
      </c>
    </row>
    <row r="33" customFormat="false" ht="12.75" hidden="false" customHeight="false" outlineLevel="0" collapsed="false">
      <c r="A33" s="0" t="n">
        <v>32</v>
      </c>
      <c r="B33" s="0" t="n">
        <v>176</v>
      </c>
      <c r="C33" s="0" t="n">
        <v>65</v>
      </c>
      <c r="D33" s="22" t="n">
        <v>166</v>
      </c>
      <c r="E33" s="1" t="n">
        <v>60</v>
      </c>
      <c r="F33" s="2" t="s">
        <v>54</v>
      </c>
      <c r="I33" s="0" t="s">
        <v>55</v>
      </c>
      <c r="L33" s="5" t="n">
        <f aca="false">K27-L32</f>
        <v>167.694042714427</v>
      </c>
      <c r="M33" s="0" t="s">
        <v>56</v>
      </c>
      <c r="N33" s="5" t="n">
        <f aca="false">H17+L32</f>
        <v>169.910957285573</v>
      </c>
    </row>
    <row r="34" customFormat="false" ht="12.75" hidden="false" customHeight="false" outlineLevel="0" collapsed="false">
      <c r="A34" s="0" t="n">
        <v>33</v>
      </c>
      <c r="B34" s="0" t="n">
        <v>166</v>
      </c>
      <c r="C34" s="0" t="n">
        <v>60</v>
      </c>
      <c r="D34" s="22" t="n">
        <v>166</v>
      </c>
      <c r="E34" s="1" t="n">
        <v>55</v>
      </c>
      <c r="H34" s="0" t="s">
        <v>57</v>
      </c>
      <c r="J34" s="0" t="n">
        <v>0.143</v>
      </c>
      <c r="K34" s="0" t="s">
        <v>58</v>
      </c>
    </row>
    <row r="35" customFormat="false" ht="12.75" hidden="false" customHeight="false" outlineLevel="0" collapsed="false">
      <c r="A35" s="0" t="n">
        <v>34</v>
      </c>
      <c r="B35" s="0" t="n">
        <v>164</v>
      </c>
      <c r="C35" s="0" t="n">
        <v>59</v>
      </c>
      <c r="D35" s="22" t="n">
        <v>166</v>
      </c>
      <c r="E35" s="1" t="n">
        <v>67</v>
      </c>
      <c r="J35" s="5" t="n">
        <f aca="false">M30*(1-0.143)</f>
        <v>4.84667292722388</v>
      </c>
      <c r="K35" s="0" t="s">
        <v>59</v>
      </c>
      <c r="L35" s="5" t="n">
        <f aca="false">M30*(1+0.143)</f>
        <v>6.46411570106988</v>
      </c>
    </row>
    <row r="36" customFormat="false" ht="12.75" hidden="false" customHeight="false" outlineLevel="0" collapsed="false">
      <c r="A36" s="0" t="n">
        <v>1</v>
      </c>
      <c r="B36" s="0" t="n">
        <v>173</v>
      </c>
      <c r="C36" s="0" t="n">
        <v>74</v>
      </c>
      <c r="D36" s="22" t="n">
        <v>166</v>
      </c>
      <c r="E36" s="1" t="n">
        <v>55</v>
      </c>
      <c r="G36" s="9"/>
      <c r="H36" s="10" t="s">
        <v>16</v>
      </c>
      <c r="I36" s="10" t="s">
        <v>17</v>
      </c>
      <c r="J36" s="3" t="s">
        <v>60</v>
      </c>
      <c r="K36" s="3" t="s">
        <v>61</v>
      </c>
      <c r="L36" s="3" t="s">
        <v>62</v>
      </c>
      <c r="M36" s="3" t="s">
        <v>63</v>
      </c>
      <c r="N36" s="3" t="s">
        <v>64</v>
      </c>
      <c r="O36" s="3" t="s">
        <v>65</v>
      </c>
      <c r="P36" s="23" t="s">
        <v>34</v>
      </c>
    </row>
    <row r="37" customFormat="false" ht="12.75" hidden="false" customHeight="false" outlineLevel="0" collapsed="false">
      <c r="A37" s="0" t="n">
        <v>2</v>
      </c>
      <c r="B37" s="0" t="n">
        <v>174</v>
      </c>
      <c r="C37" s="0" t="n">
        <v>67</v>
      </c>
      <c r="D37" s="22" t="n">
        <v>166</v>
      </c>
      <c r="E37" s="1" t="n">
        <v>63</v>
      </c>
      <c r="G37" s="9" t="n">
        <v>1</v>
      </c>
      <c r="H37" s="12" t="n">
        <f aca="false">H7</f>
        <v>158</v>
      </c>
      <c r="I37" s="12" t="n">
        <f aca="false">H37+$H$4</f>
        <v>161.625</v>
      </c>
      <c r="J37" s="11" t="s">
        <v>66</v>
      </c>
      <c r="K37" s="12" t="n">
        <f aca="false">(I37-$K$27)/$H$30</f>
        <v>-1.27553597827443</v>
      </c>
      <c r="L37" s="3" t="n">
        <v>-0.5</v>
      </c>
      <c r="M37" s="3" t="n">
        <v>-0.3997</v>
      </c>
      <c r="N37" s="24" t="n">
        <f aca="false">M37-L37</f>
        <v>0.1003</v>
      </c>
      <c r="O37" s="12" t="n">
        <f aca="false">100*N37</f>
        <v>10.03</v>
      </c>
      <c r="P37" s="25" t="n">
        <f aca="false">M7</f>
        <v>0.09</v>
      </c>
    </row>
    <row r="38" customFormat="false" ht="12.75" hidden="false" customHeight="false" outlineLevel="0" collapsed="false">
      <c r="A38" s="0" t="n">
        <v>3</v>
      </c>
      <c r="B38" s="0" t="n">
        <v>167</v>
      </c>
      <c r="C38" s="0" t="n">
        <v>53</v>
      </c>
      <c r="D38" s="22" t="n">
        <v>166</v>
      </c>
      <c r="E38" s="1" t="n">
        <v>60</v>
      </c>
      <c r="G38" s="9" t="n">
        <v>2</v>
      </c>
      <c r="H38" s="12" t="n">
        <f aca="false">I37</f>
        <v>161.625</v>
      </c>
      <c r="I38" s="12" t="n">
        <f aca="false">H38+$H$4</f>
        <v>165.25</v>
      </c>
      <c r="J38" s="12" t="n">
        <f aca="false">(H38-$K$27)/$H$30</f>
        <v>-1.27553597827443</v>
      </c>
      <c r="K38" s="12" t="n">
        <f aca="false">(I38-$K$27)/$H$30</f>
        <v>-0.631325888236841</v>
      </c>
      <c r="L38" s="3" t="n">
        <f aca="false">M37</f>
        <v>-0.3997</v>
      </c>
      <c r="M38" s="3" t="n">
        <v>-0.2357</v>
      </c>
      <c r="N38" s="24" t="n">
        <f aca="false">M38-L38</f>
        <v>0.164</v>
      </c>
      <c r="O38" s="12" t="n">
        <f aca="false">100*N38</f>
        <v>16.4</v>
      </c>
      <c r="P38" s="25" t="n">
        <f aca="false">M8</f>
        <v>0.22</v>
      </c>
    </row>
    <row r="39" customFormat="false" ht="12.75" hidden="false" customHeight="false" outlineLevel="0" collapsed="false">
      <c r="A39" s="0" t="n">
        <v>4</v>
      </c>
      <c r="B39" s="0" t="n">
        <v>171</v>
      </c>
      <c r="C39" s="0" t="n">
        <v>67</v>
      </c>
      <c r="D39" s="22" t="n">
        <v>166</v>
      </c>
      <c r="E39" s="1" t="n">
        <v>55</v>
      </c>
      <c r="G39" s="9" t="n">
        <v>3</v>
      </c>
      <c r="H39" s="12" t="n">
        <f aca="false">I38</f>
        <v>165.25</v>
      </c>
      <c r="I39" s="12" t="n">
        <f aca="false">H39+$H$4</f>
        <v>168.875</v>
      </c>
      <c r="J39" s="12" t="n">
        <f aca="false">(H39-$K$27)/$H$30</f>
        <v>-0.631325888236841</v>
      </c>
      <c r="K39" s="12" t="n">
        <f aca="false">(I39-$K$27)/$H$30</f>
        <v>0.0128842018007502</v>
      </c>
      <c r="L39" s="3" t="n">
        <f aca="false">M38</f>
        <v>-0.2357</v>
      </c>
      <c r="M39" s="3" t="n">
        <v>0.004</v>
      </c>
      <c r="N39" s="24" t="n">
        <f aca="false">M39-L39</f>
        <v>0.2397</v>
      </c>
      <c r="O39" s="12" t="n">
        <f aca="false">100*N39</f>
        <v>23.97</v>
      </c>
      <c r="P39" s="25" t="n">
        <f aca="false">M9</f>
        <v>0.2</v>
      </c>
    </row>
    <row r="40" customFormat="false" ht="12.75" hidden="false" customHeight="false" outlineLevel="0" collapsed="false">
      <c r="A40" s="0" t="n">
        <v>5</v>
      </c>
      <c r="B40" s="0" t="n">
        <v>179</v>
      </c>
      <c r="C40" s="0" t="n">
        <v>80</v>
      </c>
      <c r="D40" s="22" t="n">
        <v>166</v>
      </c>
      <c r="E40" s="1" t="n">
        <v>57</v>
      </c>
      <c r="G40" s="9" t="n">
        <v>4</v>
      </c>
      <c r="H40" s="12" t="n">
        <f aca="false">I39</f>
        <v>168.875</v>
      </c>
      <c r="I40" s="12" t="n">
        <f aca="false">H40+$H$4</f>
        <v>172.5</v>
      </c>
      <c r="J40" s="12" t="n">
        <f aca="false">(H40-$K$27)/$H$30</f>
        <v>0.0128842018007502</v>
      </c>
      <c r="K40" s="12" t="n">
        <f aca="false">(I40-$K$27)/$H$30</f>
        <v>0.657094291838342</v>
      </c>
      <c r="L40" s="3" t="n">
        <f aca="false">M39</f>
        <v>0.004</v>
      </c>
      <c r="M40" s="3" t="n">
        <v>0.2454</v>
      </c>
      <c r="N40" s="24" t="n">
        <f aca="false">M40-L40</f>
        <v>0.2414</v>
      </c>
      <c r="O40" s="12" t="n">
        <f aca="false">100*N40</f>
        <v>24.14</v>
      </c>
      <c r="P40" s="25" t="n">
        <f aca="false">M10</f>
        <v>0.24</v>
      </c>
    </row>
    <row r="41" customFormat="false" ht="12.75" hidden="false" customHeight="false" outlineLevel="0" collapsed="false">
      <c r="A41" s="0" t="n">
        <v>6</v>
      </c>
      <c r="B41" s="0" t="n">
        <v>172</v>
      </c>
      <c r="C41" s="0" t="n">
        <v>70</v>
      </c>
      <c r="D41" s="22" t="n">
        <v>167</v>
      </c>
      <c r="E41" s="1" t="n">
        <v>64</v>
      </c>
      <c r="G41" s="9" t="n">
        <v>5</v>
      </c>
      <c r="H41" s="12" t="n">
        <f aca="false">I40</f>
        <v>172.5</v>
      </c>
      <c r="I41" s="12" t="n">
        <f aca="false">H41+$H$4</f>
        <v>176.125</v>
      </c>
      <c r="J41" s="12" t="n">
        <f aca="false">(H41-$K$27)/$H$30</f>
        <v>0.657094291838342</v>
      </c>
      <c r="K41" s="12" t="n">
        <f aca="false">(I41-$K$27)/$H$30</f>
        <v>1.30130438187593</v>
      </c>
      <c r="L41" s="3" t="n">
        <f aca="false">M40</f>
        <v>0.2454</v>
      </c>
      <c r="M41" s="3" t="n">
        <v>0.4032</v>
      </c>
      <c r="N41" s="24" t="n">
        <f aca="false">M41-L41</f>
        <v>0.1578</v>
      </c>
      <c r="O41" s="12" t="n">
        <f aca="false">100*N41</f>
        <v>15.78</v>
      </c>
      <c r="P41" s="25" t="n">
        <f aca="false">M11</f>
        <v>0.16</v>
      </c>
    </row>
    <row r="42" customFormat="false" ht="12.75" hidden="false" customHeight="false" outlineLevel="0" collapsed="false">
      <c r="A42" s="0" t="n">
        <v>7</v>
      </c>
      <c r="B42" s="0" t="n">
        <v>167</v>
      </c>
      <c r="C42" s="0" t="n">
        <v>65</v>
      </c>
      <c r="D42" s="22" t="n">
        <v>167</v>
      </c>
      <c r="E42" s="1" t="n">
        <v>53</v>
      </c>
      <c r="G42" s="9" t="n">
        <v>6</v>
      </c>
      <c r="H42" s="12" t="n">
        <f aca="false">I41</f>
        <v>176.125</v>
      </c>
      <c r="I42" s="12" t="n">
        <f aca="false">H42+$H$4</f>
        <v>179.75</v>
      </c>
      <c r="J42" s="12" t="n">
        <f aca="false">(H42-$K$27)/$H$30</f>
        <v>1.30130438187593</v>
      </c>
      <c r="K42" s="12" t="n">
        <f aca="false">(I42-$K$27)/$H$30</f>
        <v>1.94551447191352</v>
      </c>
      <c r="L42" s="3" t="n">
        <f aca="false">M41</f>
        <v>0.4032</v>
      </c>
      <c r="M42" s="3" t="n">
        <v>0.4744</v>
      </c>
      <c r="N42" s="24" t="n">
        <f aca="false">M42-L42</f>
        <v>0.0712</v>
      </c>
      <c r="O42" s="12" t="n">
        <f aca="false">100*N42</f>
        <v>7.12</v>
      </c>
      <c r="P42" s="25" t="n">
        <f aca="false">M12</f>
        <v>0.05</v>
      </c>
    </row>
    <row r="43" customFormat="false" ht="12.75" hidden="false" customHeight="false" outlineLevel="0" collapsed="false">
      <c r="A43" s="0" t="n">
        <v>8</v>
      </c>
      <c r="B43" s="0" t="n">
        <v>164</v>
      </c>
      <c r="C43" s="0" t="n">
        <v>60</v>
      </c>
      <c r="D43" s="22" t="n">
        <v>167</v>
      </c>
      <c r="E43" s="1" t="n">
        <v>65</v>
      </c>
      <c r="G43" s="9" t="n">
        <v>7</v>
      </c>
      <c r="H43" s="12" t="n">
        <f aca="false">I42</f>
        <v>179.75</v>
      </c>
      <c r="I43" s="12" t="n">
        <f aca="false">H43+$H$4</f>
        <v>183.375</v>
      </c>
      <c r="J43" s="12" t="n">
        <f aca="false">(H43-$K$27)/$H$30</f>
        <v>1.94551447191352</v>
      </c>
      <c r="K43" s="12" t="n">
        <f aca="false">(I43-$K$27)/$H$30</f>
        <v>2.58972456195112</v>
      </c>
      <c r="L43" s="3" t="n">
        <f aca="false">M42</f>
        <v>0.4744</v>
      </c>
      <c r="M43" s="0" t="n">
        <v>0.4952</v>
      </c>
      <c r="N43" s="24" t="n">
        <f aca="false">M43-L43</f>
        <v>0.0208</v>
      </c>
      <c r="O43" s="12" t="n">
        <f aca="false">100*N43</f>
        <v>2.08</v>
      </c>
      <c r="P43" s="25" t="n">
        <f aca="false">M13</f>
        <v>0.03</v>
      </c>
    </row>
    <row r="44" customFormat="false" ht="12.75" hidden="false" customHeight="false" outlineLevel="0" collapsed="false">
      <c r="A44" s="0" t="n">
        <v>9</v>
      </c>
      <c r="B44" s="0" t="n">
        <v>164</v>
      </c>
      <c r="C44" s="0" t="n">
        <v>61</v>
      </c>
      <c r="D44" s="22" t="n">
        <v>167</v>
      </c>
      <c r="E44" s="1" t="n">
        <v>63</v>
      </c>
      <c r="G44" s="9" t="n">
        <v>8</v>
      </c>
      <c r="H44" s="12" t="n">
        <f aca="false">I43</f>
        <v>183.375</v>
      </c>
      <c r="I44" s="12" t="n">
        <f aca="false">H44+$H$4</f>
        <v>187</v>
      </c>
      <c r="J44" s="12" t="n">
        <f aca="false">(H44-$K$27)/$H$30</f>
        <v>2.58972456195112</v>
      </c>
      <c r="K44" s="12" t="n">
        <f aca="false">(I44-$K$27)/$H$30</f>
        <v>3.23393465198871</v>
      </c>
      <c r="L44" s="3" t="n">
        <f aca="false">M43</f>
        <v>0.4952</v>
      </c>
      <c r="M44" s="3" t="n">
        <v>0.5</v>
      </c>
      <c r="N44" s="24" t="n">
        <f aca="false">M44-L44</f>
        <v>0.00480000000000003</v>
      </c>
      <c r="O44" s="12" t="n">
        <f aca="false">100*N44</f>
        <v>0.480000000000003</v>
      </c>
      <c r="P44" s="25" t="n">
        <f aca="false">M14</f>
        <v>0.01</v>
      </c>
    </row>
    <row r="45" customFormat="false" ht="12.75" hidden="false" customHeight="false" outlineLevel="0" collapsed="false">
      <c r="A45" s="0" t="n">
        <v>10</v>
      </c>
      <c r="B45" s="0" t="n">
        <v>179</v>
      </c>
      <c r="C45" s="0" t="n">
        <v>69</v>
      </c>
      <c r="D45" s="22" t="n">
        <v>167</v>
      </c>
      <c r="E45" s="1" t="n">
        <v>65</v>
      </c>
      <c r="N45" s="24" t="n">
        <f aca="false">SUM(N37:N44)</f>
        <v>1</v>
      </c>
      <c r="O45" s="12" t="n">
        <f aca="false">SUM(O37:O44)</f>
        <v>100</v>
      </c>
    </row>
    <row r="46" customFormat="false" ht="12.75" hidden="false" customHeight="false" outlineLevel="0" collapsed="false">
      <c r="A46" s="0" t="n">
        <v>11</v>
      </c>
      <c r="B46" s="0" t="n">
        <v>170</v>
      </c>
      <c r="C46" s="0" t="n">
        <v>69</v>
      </c>
      <c r="D46" s="22" t="n">
        <v>167</v>
      </c>
      <c r="E46" s="1" t="n">
        <v>53</v>
      </c>
    </row>
    <row r="47" customFormat="false" ht="12.75" hidden="false" customHeight="false" outlineLevel="0" collapsed="false">
      <c r="A47" s="0" t="n">
        <v>12</v>
      </c>
      <c r="B47" s="0" t="n">
        <v>173</v>
      </c>
      <c r="C47" s="0" t="n">
        <v>72</v>
      </c>
      <c r="D47" s="22" t="n">
        <v>167</v>
      </c>
      <c r="E47" s="1" t="n">
        <v>63</v>
      </c>
      <c r="G47" s="3" t="s">
        <v>67</v>
      </c>
      <c r="H47" s="25" t="s">
        <v>16</v>
      </c>
      <c r="I47" s="10" t="s">
        <v>17</v>
      </c>
      <c r="J47" s="10" t="s">
        <v>18</v>
      </c>
      <c r="K47" s="26" t="s">
        <v>68</v>
      </c>
      <c r="L47" s="3" t="s">
        <v>65</v>
      </c>
      <c r="M47" s="27" t="s">
        <v>65</v>
      </c>
      <c r="N47" s="27" t="s">
        <v>69</v>
      </c>
      <c r="O47" s="3" t="s">
        <v>70</v>
      </c>
      <c r="P47" s="0" t="s">
        <v>71</v>
      </c>
      <c r="Q47" s="3"/>
    </row>
    <row r="48" customFormat="false" ht="12.75" hidden="false" customHeight="false" outlineLevel="0" collapsed="false">
      <c r="A48" s="0" t="n">
        <v>13</v>
      </c>
      <c r="B48" s="0" t="n">
        <v>162</v>
      </c>
      <c r="C48" s="0" t="n">
        <v>61</v>
      </c>
      <c r="D48" s="22" t="n">
        <v>167</v>
      </c>
      <c r="E48" s="1" t="n">
        <v>58</v>
      </c>
      <c r="G48" s="28" t="n">
        <f aca="false">N37/$K$27</f>
        <v>0.000594185512655322</v>
      </c>
      <c r="H48" s="12" t="n">
        <f aca="false">H37</f>
        <v>158</v>
      </c>
      <c r="I48" s="12" t="n">
        <f aca="false">I37</f>
        <v>161.625</v>
      </c>
      <c r="J48" s="29" t="n">
        <f aca="false">J7</f>
        <v>9</v>
      </c>
      <c r="K48" s="30" t="n">
        <f aca="false">J48</f>
        <v>9</v>
      </c>
      <c r="L48" s="8" t="n">
        <f aca="false">O37</f>
        <v>10.03</v>
      </c>
      <c r="M48" s="31" t="n">
        <f aca="false">L48</f>
        <v>10.03</v>
      </c>
      <c r="N48" s="31" t="n">
        <f aca="false">K48-M48</f>
        <v>-1.03</v>
      </c>
      <c r="O48" s="32" t="n">
        <f aca="false">N48*N48/M48</f>
        <v>0.105772681954137</v>
      </c>
      <c r="P48" s="0" t="n">
        <f aca="false">K48*K48/M48</f>
        <v>8.07577268195414</v>
      </c>
      <c r="Q48" s="3" t="n">
        <v>1</v>
      </c>
    </row>
    <row r="49" customFormat="false" ht="12.75" hidden="false" customHeight="false" outlineLevel="0" collapsed="false">
      <c r="A49" s="0" t="n">
        <v>14</v>
      </c>
      <c r="B49" s="0" t="n">
        <v>167</v>
      </c>
      <c r="C49" s="0" t="n">
        <v>63</v>
      </c>
      <c r="D49" s="22" t="n">
        <v>167</v>
      </c>
      <c r="E49" s="1" t="n">
        <v>63</v>
      </c>
      <c r="G49" s="28" t="n">
        <f aca="false">N38/$K$27</f>
        <v>0.000971549591978792</v>
      </c>
      <c r="H49" s="12" t="n">
        <f aca="false">H38</f>
        <v>161.625</v>
      </c>
      <c r="I49" s="12" t="n">
        <f aca="false">I38</f>
        <v>165.25</v>
      </c>
      <c r="J49" s="14" t="n">
        <f aca="false">J8</f>
        <v>22</v>
      </c>
      <c r="K49" s="30" t="n">
        <f aca="false">J49</f>
        <v>22</v>
      </c>
      <c r="L49" s="8" t="n">
        <f aca="false">O38</f>
        <v>16.4</v>
      </c>
      <c r="M49" s="31" t="n">
        <f aca="false">L49</f>
        <v>16.4</v>
      </c>
      <c r="N49" s="31" t="n">
        <f aca="false">K49-M49</f>
        <v>5.6</v>
      </c>
      <c r="O49" s="32" t="n">
        <f aca="false">N49*N49/M49</f>
        <v>1.91219512195122</v>
      </c>
      <c r="P49" s="0" t="n">
        <f aca="false">K49*K49/M49</f>
        <v>29.5121951219512</v>
      </c>
      <c r="Q49" s="3" t="n">
        <v>2</v>
      </c>
    </row>
    <row r="50" customFormat="false" ht="12.75" hidden="false" customHeight="false" outlineLevel="0" collapsed="false">
      <c r="A50" s="0" t="n">
        <v>15</v>
      </c>
      <c r="B50" s="0" t="n">
        <v>173</v>
      </c>
      <c r="C50" s="0" t="n">
        <v>69</v>
      </c>
      <c r="D50" s="22" t="n">
        <v>168</v>
      </c>
      <c r="E50" s="1" t="n">
        <v>62</v>
      </c>
      <c r="G50" s="28" t="n">
        <f aca="false">N39/$K$27</f>
        <v>0.00142000266583729</v>
      </c>
      <c r="H50" s="12" t="n">
        <f aca="false">H39</f>
        <v>165.25</v>
      </c>
      <c r="I50" s="12" t="n">
        <f aca="false">I39</f>
        <v>168.875</v>
      </c>
      <c r="J50" s="14" t="n">
        <f aca="false">J9</f>
        <v>20</v>
      </c>
      <c r="K50" s="30" t="n">
        <f aca="false">J50</f>
        <v>20</v>
      </c>
      <c r="L50" s="8" t="n">
        <f aca="false">O39</f>
        <v>23.97</v>
      </c>
      <c r="M50" s="31" t="n">
        <f aca="false">L50</f>
        <v>23.97</v>
      </c>
      <c r="N50" s="31" t="n">
        <f aca="false">K50-M50</f>
        <v>-3.97</v>
      </c>
      <c r="O50" s="32" t="n">
        <f aca="false">N50*N50/M50</f>
        <v>0.657526074259491</v>
      </c>
      <c r="P50" s="0" t="n">
        <f aca="false">K50*K50/M50</f>
        <v>16.6875260742595</v>
      </c>
      <c r="Q50" s="3" t="n">
        <v>3</v>
      </c>
    </row>
    <row r="51" customFormat="false" ht="12.75" hidden="false" customHeight="false" outlineLevel="0" collapsed="false">
      <c r="A51" s="0" t="n">
        <v>16</v>
      </c>
      <c r="B51" s="0" t="n">
        <v>174</v>
      </c>
      <c r="C51" s="0" t="n">
        <v>74</v>
      </c>
      <c r="D51" s="22" t="n">
        <v>168</v>
      </c>
      <c r="E51" s="1" t="n">
        <v>54</v>
      </c>
      <c r="G51" s="28" t="n">
        <f aca="false">N40/$K$27</f>
        <v>0.00143007360672976</v>
      </c>
      <c r="H51" s="12" t="n">
        <f aca="false">H40</f>
        <v>168.875</v>
      </c>
      <c r="I51" s="12" t="n">
        <f aca="false">I40</f>
        <v>172.5</v>
      </c>
      <c r="J51" s="14" t="n">
        <f aca="false">J10</f>
        <v>24</v>
      </c>
      <c r="K51" s="30" t="n">
        <f aca="false">J51</f>
        <v>24</v>
      </c>
      <c r="L51" s="8" t="n">
        <f aca="false">O40</f>
        <v>24.14</v>
      </c>
      <c r="M51" s="31" t="n">
        <f aca="false">L51</f>
        <v>24.14</v>
      </c>
      <c r="N51" s="31" t="n">
        <f aca="false">K51-M51</f>
        <v>-0.140000000000001</v>
      </c>
      <c r="O51" s="32" t="n">
        <f aca="false">N51*N51/M51</f>
        <v>0.00081193040596521</v>
      </c>
      <c r="P51" s="33" t="n">
        <f aca="false">K51*K51/M51</f>
        <v>23.860811930406</v>
      </c>
      <c r="Q51" s="3" t="n">
        <v>4</v>
      </c>
    </row>
    <row r="52" customFormat="false" ht="12.75" hidden="false" customHeight="false" outlineLevel="0" collapsed="false">
      <c r="A52" s="0" t="n">
        <v>17</v>
      </c>
      <c r="B52" s="0" t="n">
        <v>170</v>
      </c>
      <c r="C52" s="0" t="n">
        <v>65</v>
      </c>
      <c r="D52" s="22" t="n">
        <v>168</v>
      </c>
      <c r="E52" s="1" t="n">
        <v>68</v>
      </c>
      <c r="G52" s="28" t="n">
        <f aca="false">N41/$K$27</f>
        <v>0.000934820278135691</v>
      </c>
      <c r="H52" s="12" t="n">
        <f aca="false">H41</f>
        <v>172.5</v>
      </c>
      <c r="I52" s="12" t="n">
        <f aca="false">I41</f>
        <v>176.125</v>
      </c>
      <c r="J52" s="14" t="n">
        <f aca="false">J11</f>
        <v>16</v>
      </c>
      <c r="K52" s="30" t="n">
        <f aca="false">J52</f>
        <v>16</v>
      </c>
      <c r="L52" s="8" t="n">
        <f aca="false">O41</f>
        <v>15.78</v>
      </c>
      <c r="M52" s="31" t="n">
        <f aca="false">L52</f>
        <v>15.78</v>
      </c>
      <c r="N52" s="31" t="n">
        <f aca="false">K52-M52</f>
        <v>0.220000000000001</v>
      </c>
      <c r="O52" s="32" t="n">
        <f aca="false">N52*N52/M52</f>
        <v>0.00306717363751586</v>
      </c>
      <c r="P52" s="33" t="n">
        <f aca="false">K52*K52/M52</f>
        <v>16.2230671736375</v>
      </c>
      <c r="Q52" s="3" t="n">
        <v>5</v>
      </c>
    </row>
    <row r="53" customFormat="false" ht="12.75" hidden="false" customHeight="false" outlineLevel="0" collapsed="false">
      <c r="A53" s="0" t="n">
        <v>18</v>
      </c>
      <c r="B53" s="0" t="n">
        <v>160</v>
      </c>
      <c r="C53" s="0" t="n">
        <v>60</v>
      </c>
      <c r="D53" s="34" t="n">
        <v>169</v>
      </c>
      <c r="E53" s="1" t="n">
        <v>73</v>
      </c>
      <c r="F53" s="2" t="s">
        <v>72</v>
      </c>
      <c r="G53" s="28" t="n">
        <f aca="false">N42/$K$27</f>
        <v>0.000421794700907866</v>
      </c>
      <c r="H53" s="12" t="n">
        <f aca="false">H42</f>
        <v>176.125</v>
      </c>
      <c r="I53" s="12" t="n">
        <f aca="false">I42</f>
        <v>179.75</v>
      </c>
      <c r="J53" s="14" t="n">
        <f aca="false">J12</f>
        <v>5</v>
      </c>
      <c r="K53" s="30" t="n">
        <f aca="false">J53+J54+J55</f>
        <v>9</v>
      </c>
      <c r="L53" s="8" t="n">
        <f aca="false">O42</f>
        <v>7.12</v>
      </c>
      <c r="M53" s="30" t="n">
        <f aca="false">L53+L54+L55</f>
        <v>9.68</v>
      </c>
      <c r="N53" s="31" t="n">
        <f aca="false">K53-M53</f>
        <v>-0.679999999999998</v>
      </c>
      <c r="O53" s="32" t="n">
        <f aca="false">N53*N53/M53</f>
        <v>0.047768595041322</v>
      </c>
      <c r="P53" s="33" t="n">
        <f aca="false">K53*K53/M53</f>
        <v>8.36776859504133</v>
      </c>
      <c r="Q53" s="3" t="n">
        <v>6</v>
      </c>
    </row>
    <row r="54" customFormat="false" ht="12.75" hidden="false" customHeight="false" outlineLevel="0" collapsed="false">
      <c r="A54" s="0" t="n">
        <v>19</v>
      </c>
      <c r="B54" s="0" t="n">
        <v>171</v>
      </c>
      <c r="C54" s="0" t="n">
        <v>64</v>
      </c>
      <c r="D54" s="34" t="n">
        <v>169</v>
      </c>
      <c r="E54" s="1" t="n">
        <v>60</v>
      </c>
      <c r="G54" s="28" t="n">
        <f aca="false">N43/$K$27</f>
        <v>0.000123220923860725</v>
      </c>
      <c r="H54" s="12" t="n">
        <f aca="false">H43</f>
        <v>179.75</v>
      </c>
      <c r="I54" s="12" t="n">
        <f aca="false">I43</f>
        <v>183.375</v>
      </c>
      <c r="J54" s="14" t="n">
        <f aca="false">J13</f>
        <v>3</v>
      </c>
      <c r="K54" s="30"/>
      <c r="L54" s="8" t="n">
        <f aca="false">O43</f>
        <v>2.08</v>
      </c>
      <c r="M54" s="31"/>
      <c r="N54" s="31"/>
      <c r="O54" s="32"/>
      <c r="P54" s="33"/>
      <c r="Q54" s="3" t="n">
        <v>7</v>
      </c>
    </row>
    <row r="55" customFormat="false" ht="12.75" hidden="false" customHeight="false" outlineLevel="0" collapsed="false">
      <c r="A55" s="0" t="n">
        <v>20</v>
      </c>
      <c r="B55" s="0" t="n">
        <v>173</v>
      </c>
      <c r="C55" s="0" t="n">
        <v>77</v>
      </c>
      <c r="D55" s="34" t="n">
        <v>169</v>
      </c>
      <c r="E55" s="1" t="n">
        <v>57</v>
      </c>
      <c r="G55" s="28" t="n">
        <f aca="false">N44/$K$27</f>
        <v>2.84355978140136E-005</v>
      </c>
      <c r="H55" s="12" t="n">
        <f aca="false">H44</f>
        <v>183.375</v>
      </c>
      <c r="I55" s="12" t="n">
        <f aca="false">I44</f>
        <v>187</v>
      </c>
      <c r="J55" s="14" t="n">
        <f aca="false">J14</f>
        <v>1</v>
      </c>
      <c r="K55" s="30"/>
      <c r="L55" s="8" t="n">
        <f aca="false">O44</f>
        <v>0.480000000000003</v>
      </c>
      <c r="M55" s="31"/>
      <c r="N55" s="31"/>
      <c r="O55" s="32"/>
      <c r="P55" s="33"/>
      <c r="Q55" s="3" t="n">
        <v>8</v>
      </c>
    </row>
    <row r="56" customFormat="false" ht="12.75" hidden="false" customHeight="false" outlineLevel="0" collapsed="false">
      <c r="A56" s="0" t="n">
        <v>21</v>
      </c>
      <c r="B56" s="0" t="n">
        <v>168</v>
      </c>
      <c r="C56" s="0" t="n">
        <v>54</v>
      </c>
      <c r="D56" s="34" t="n">
        <v>169</v>
      </c>
      <c r="E56" s="1" t="n">
        <v>61</v>
      </c>
      <c r="K56" s="14" t="n">
        <f aca="false">SUM(K48:K55)</f>
        <v>100</v>
      </c>
      <c r="L56" s="14" t="n">
        <f aca="false">SUM(L48:L55)</f>
        <v>100</v>
      </c>
      <c r="M56" s="8" t="n">
        <f aca="false">SUM(M48:M54)</f>
        <v>100</v>
      </c>
      <c r="N56" s="0" t="s">
        <v>73</v>
      </c>
      <c r="O56" s="8" t="n">
        <f aca="false">SUM(O48:O55)</f>
        <v>2.72714157724965</v>
      </c>
      <c r="P56" s="8" t="n">
        <f aca="false">SUM(P48:P55)</f>
        <v>102.72714157725</v>
      </c>
    </row>
    <row r="57" customFormat="false" ht="12.75" hidden="false" customHeight="false" outlineLevel="0" collapsed="false">
      <c r="A57" s="0" t="n">
        <v>22</v>
      </c>
      <c r="B57" s="0" t="n">
        <v>172</v>
      </c>
      <c r="C57" s="0" t="n">
        <v>70</v>
      </c>
      <c r="D57" s="34" t="n">
        <v>169</v>
      </c>
      <c r="E57" s="1" t="n">
        <v>75</v>
      </c>
      <c r="L57" s="0" t="s">
        <v>74</v>
      </c>
      <c r="M57" s="0" t="s">
        <v>75</v>
      </c>
      <c r="N57" s="0" t="n">
        <f aca="false">H30/SQRT(100)</f>
        <v>0.562704629446035</v>
      </c>
      <c r="P57" s="8" t="n">
        <f aca="false">P56-100</f>
        <v>2.72714157724967</v>
      </c>
    </row>
    <row r="58" customFormat="false" ht="12.75" hidden="false" customHeight="false" outlineLevel="0" collapsed="false">
      <c r="A58" s="0" t="n">
        <v>23</v>
      </c>
      <c r="B58" s="0" t="n">
        <v>175</v>
      </c>
      <c r="C58" s="0" t="n">
        <v>59</v>
      </c>
      <c r="D58" s="34" t="n">
        <v>170</v>
      </c>
      <c r="E58" s="1" t="n">
        <v>73</v>
      </c>
      <c r="G58" s="5"/>
      <c r="H58" s="8"/>
      <c r="J58" s="5"/>
      <c r="L58" s="0" t="s">
        <v>76</v>
      </c>
      <c r="M58" s="0" t="s">
        <v>77</v>
      </c>
      <c r="N58" s="8" t="n">
        <v>7.8</v>
      </c>
      <c r="P58" s="0" t="s">
        <v>14</v>
      </c>
    </row>
    <row r="59" customFormat="false" ht="12.75" hidden="false" customHeight="false" outlineLevel="0" collapsed="false">
      <c r="A59" s="0" t="n">
        <v>24</v>
      </c>
      <c r="B59" s="0" t="n">
        <v>164</v>
      </c>
      <c r="C59" s="0" t="n">
        <v>61</v>
      </c>
      <c r="D59" s="34" t="n">
        <v>170</v>
      </c>
      <c r="E59" s="1" t="n">
        <v>69</v>
      </c>
    </row>
    <row r="60" customFormat="false" ht="12.75" hidden="false" customHeight="false" outlineLevel="0" collapsed="false">
      <c r="A60" s="0" t="n">
        <v>25</v>
      </c>
      <c r="B60" s="0" t="n">
        <v>167</v>
      </c>
      <c r="C60" s="0" t="n">
        <v>65</v>
      </c>
      <c r="D60" s="34" t="n">
        <v>170</v>
      </c>
      <c r="E60" s="1" t="n">
        <v>65</v>
      </c>
      <c r="H60" s="6" t="s">
        <v>78</v>
      </c>
      <c r="I60" s="6"/>
      <c r="J60" s="6"/>
      <c r="K60" s="0" t="s">
        <v>79</v>
      </c>
    </row>
    <row r="61" customFormat="false" ht="12.75" hidden="false" customHeight="false" outlineLevel="0" collapsed="false">
      <c r="A61" s="0" t="n">
        <v>26</v>
      </c>
      <c r="B61" s="0" t="n">
        <v>169</v>
      </c>
      <c r="C61" s="0" t="n">
        <v>57</v>
      </c>
      <c r="D61" s="34" t="n">
        <v>171</v>
      </c>
      <c r="E61" s="1" t="n">
        <v>72</v>
      </c>
    </row>
    <row r="62" customFormat="false" ht="12.75" hidden="false" customHeight="false" outlineLevel="0" collapsed="false">
      <c r="A62" s="0" t="n">
        <v>27</v>
      </c>
      <c r="B62" s="0" t="n">
        <v>166</v>
      </c>
      <c r="C62" s="0" t="n">
        <v>55</v>
      </c>
      <c r="D62" s="34" t="n">
        <v>171</v>
      </c>
      <c r="E62" s="1" t="n">
        <v>67</v>
      </c>
      <c r="G62" s="0" t="s">
        <v>80</v>
      </c>
      <c r="I62" s="0" t="n">
        <f aca="false">MIN(C2:C101)</f>
        <v>50</v>
      </c>
      <c r="J62" s="0" t="s">
        <v>81</v>
      </c>
      <c r="K62" s="0" t="n">
        <f aca="false">MAX(C2:C101)</f>
        <v>84</v>
      </c>
      <c r="L62" s="0" t="str">
        <f aca="false">G3</f>
        <v>k=</v>
      </c>
      <c r="M62" s="0" t="n">
        <f aca="false">H3</f>
        <v>8</v>
      </c>
      <c r="O62" s="0" t="str">
        <f aca="false">G4</f>
        <v>h=</v>
      </c>
      <c r="P62" s="0" t="n">
        <f aca="false">H63/M62</f>
        <v>4.25</v>
      </c>
    </row>
    <row r="63" customFormat="false" ht="12.75" hidden="false" customHeight="false" outlineLevel="0" collapsed="false">
      <c r="A63" s="0" t="n">
        <v>28</v>
      </c>
      <c r="B63" s="0" t="n">
        <v>162</v>
      </c>
      <c r="C63" s="0" t="n">
        <v>56</v>
      </c>
      <c r="D63" s="34" t="n">
        <v>171</v>
      </c>
      <c r="E63" s="1" t="n">
        <v>67</v>
      </c>
      <c r="G63" s="0" t="str">
        <f aca="false">G2</f>
        <v>R</v>
      </c>
      <c r="H63" s="0" t="n">
        <f aca="false">K62-I62</f>
        <v>34</v>
      </c>
      <c r="I63" s="0" t="str">
        <f aca="false">I2</f>
        <v>разброс</v>
      </c>
    </row>
    <row r="64" customFormat="false" ht="12.75" hidden="false" customHeight="false" outlineLevel="0" collapsed="false">
      <c r="A64" s="0" t="n">
        <v>29</v>
      </c>
      <c r="B64" s="0" t="n">
        <v>164</v>
      </c>
      <c r="C64" s="0" t="n">
        <v>62</v>
      </c>
      <c r="D64" s="34" t="n">
        <v>171</v>
      </c>
      <c r="E64" s="1" t="n">
        <v>64</v>
      </c>
      <c r="I64" s="0" t="s">
        <v>1</v>
      </c>
      <c r="J64" s="3" t="n">
        <v>0</v>
      </c>
      <c r="K64" s="3" t="n">
        <v>1</v>
      </c>
      <c r="L64" s="3" t="n">
        <v>2</v>
      </c>
      <c r="M64" s="3" t="n">
        <v>3</v>
      </c>
      <c r="N64" s="3" t="n">
        <v>4</v>
      </c>
      <c r="O64" s="3" t="n">
        <v>5</v>
      </c>
      <c r="P64" s="3" t="n">
        <v>6</v>
      </c>
      <c r="Q64" s="3" t="n">
        <v>7</v>
      </c>
      <c r="R64" s="3" t="n">
        <v>8</v>
      </c>
    </row>
    <row r="65" customFormat="false" ht="12.75" hidden="false" customHeight="false" outlineLevel="0" collapsed="false">
      <c r="A65" s="0" t="n">
        <v>30</v>
      </c>
      <c r="B65" s="0" t="n">
        <v>171</v>
      </c>
      <c r="C65" s="0" t="n">
        <v>76</v>
      </c>
      <c r="D65" s="34" t="n">
        <v>171</v>
      </c>
      <c r="E65" s="1" t="n">
        <v>76</v>
      </c>
      <c r="H65" s="0" t="s">
        <v>0</v>
      </c>
      <c r="J65" s="12" t="n">
        <f aca="false">I62</f>
        <v>50</v>
      </c>
      <c r="K65" s="12" t="n">
        <f aca="false">J65+$P$62</f>
        <v>54.25</v>
      </c>
      <c r="L65" s="12" t="n">
        <f aca="false">K65+$P$62</f>
        <v>58.5</v>
      </c>
      <c r="M65" s="12" t="n">
        <f aca="false">L65+$P$62</f>
        <v>62.75</v>
      </c>
      <c r="N65" s="12" t="n">
        <f aca="false">M65+$P$62</f>
        <v>67</v>
      </c>
      <c r="O65" s="12" t="n">
        <f aca="false">N65+$P$62</f>
        <v>71.25</v>
      </c>
      <c r="P65" s="12" t="n">
        <f aca="false">O65+$P$62</f>
        <v>75.5</v>
      </c>
      <c r="Q65" s="12" t="n">
        <f aca="false">P65+$P$62</f>
        <v>79.75</v>
      </c>
      <c r="R65" s="35" t="n">
        <f aca="false">Q65+$P$62</f>
        <v>84</v>
      </c>
    </row>
    <row r="66" customFormat="false" ht="12.75" hidden="false" customHeight="false" outlineLevel="0" collapsed="false">
      <c r="A66" s="0" t="n">
        <v>31</v>
      </c>
      <c r="B66" s="0" t="n">
        <v>161</v>
      </c>
      <c r="C66" s="0" t="n">
        <v>52</v>
      </c>
      <c r="D66" s="34" t="n">
        <v>171</v>
      </c>
      <c r="E66" s="1" t="n">
        <v>60</v>
      </c>
      <c r="G66" s="9" t="n">
        <f aca="false">G7</f>
        <v>1</v>
      </c>
      <c r="H66" s="12" t="n">
        <f aca="false">H7</f>
        <v>158</v>
      </c>
      <c r="I66" s="12" t="n">
        <f aca="false">I7</f>
        <v>161.625</v>
      </c>
      <c r="J66" s="36"/>
      <c r="K66" s="37" t="n">
        <f aca="false">COUNTIF($E$2:$E$10,"&lt;=54")</f>
        <v>3</v>
      </c>
      <c r="L66" s="38" t="n">
        <f aca="false">COUNTIF(E2:E10,"&lt;=58")-K66</f>
        <v>2</v>
      </c>
      <c r="M66" s="34" t="n">
        <f aca="false">COUNTIF(E2:E10,"&lt;=62")-L66-K66</f>
        <v>2</v>
      </c>
      <c r="N66" s="39" t="n">
        <f aca="false">COUNTIF($E$2:$E$10,"&lt;=67")-M66-L66-K66</f>
        <v>1</v>
      </c>
      <c r="O66" s="6" t="n">
        <f aca="false">COUNTIF($E$2:$E$10,"&lt;=71")-N66-M66-L66-K66</f>
        <v>1</v>
      </c>
      <c r="P66" s="7" t="n">
        <v>0</v>
      </c>
      <c r="Q66" s="40" t="n">
        <v>0</v>
      </c>
      <c r="R66" s="41" t="n">
        <v>0</v>
      </c>
      <c r="S66" s="0" t="n">
        <f aca="false">SUM(K66:R66)</f>
        <v>9</v>
      </c>
      <c r="T66" s="0" t="n">
        <f aca="false">J48</f>
        <v>9</v>
      </c>
      <c r="U66" s="0" t="n">
        <f aca="false">G66</f>
        <v>1</v>
      </c>
    </row>
    <row r="67" customFormat="false" ht="12.75" hidden="false" customHeight="false" outlineLevel="0" collapsed="false">
      <c r="A67" s="0" t="n">
        <v>32</v>
      </c>
      <c r="B67" s="0" t="n">
        <v>180</v>
      </c>
      <c r="C67" s="0" t="n">
        <v>65</v>
      </c>
      <c r="D67" s="34" t="n">
        <v>171</v>
      </c>
      <c r="E67" s="1" t="n">
        <v>72</v>
      </c>
      <c r="G67" s="9" t="n">
        <f aca="false">G8</f>
        <v>2</v>
      </c>
      <c r="H67" s="12" t="n">
        <f aca="false">H8</f>
        <v>161.625</v>
      </c>
      <c r="I67" s="12" t="n">
        <f aca="false">I8</f>
        <v>165.25</v>
      </c>
      <c r="J67" s="36"/>
      <c r="K67" s="37" t="n">
        <f aca="false">COUNTIF($E$11:$E$32,"&lt;=54")</f>
        <v>2</v>
      </c>
      <c r="L67" s="38" t="n">
        <f aca="false">COUNTIF($E$11:$E$32,"&lt;=58")-K67</f>
        <v>3</v>
      </c>
      <c r="M67" s="34" t="n">
        <f aca="false">COUNTIF($E$11:$E$32,"&lt;=62")-L67-K67</f>
        <v>9</v>
      </c>
      <c r="N67" s="39" t="n">
        <f aca="false">COUNTIF($E$11:$E$32,"&lt;=67")-M67-L67-K67</f>
        <v>5</v>
      </c>
      <c r="O67" s="6" t="n">
        <f aca="false">COUNTIF($E$11:$E$32,"&lt;=71")-N67-M67-L67-K67</f>
        <v>2</v>
      </c>
      <c r="P67" s="7" t="n">
        <f aca="false">COUNTIF($E$11:$E$32,"&lt;=75")-O67-N67-M67-L67-K67</f>
        <v>1</v>
      </c>
      <c r="Q67" s="40" t="n">
        <f aca="false">COUNTIF($E$11:$E$32,"&lt;=79")-P67-O67-N67-M67-L67-K67</f>
        <v>0</v>
      </c>
      <c r="R67" s="41" t="n">
        <f aca="false">COUNTIF($E$11:$E$32,"&lt;=84")-Q67-P67-O67-N67-M67-L67-K67</f>
        <v>0</v>
      </c>
      <c r="S67" s="0" t="n">
        <f aca="false">SUM(K67:R67)</f>
        <v>22</v>
      </c>
      <c r="T67" s="19" t="n">
        <f aca="false">J49</f>
        <v>22</v>
      </c>
      <c r="U67" s="0" t="n">
        <f aca="false">G67</f>
        <v>2</v>
      </c>
    </row>
    <row r="68" customFormat="false" ht="12.75" hidden="false" customHeight="false" outlineLevel="0" collapsed="false">
      <c r="A68" s="0" t="n">
        <v>33</v>
      </c>
      <c r="B68" s="0" t="n">
        <v>168</v>
      </c>
      <c r="C68" s="0" t="n">
        <v>68</v>
      </c>
      <c r="D68" s="34" t="n">
        <v>171</v>
      </c>
      <c r="E68" s="1" t="n">
        <v>60</v>
      </c>
      <c r="G68" s="9" t="n">
        <f aca="false">G9</f>
        <v>3</v>
      </c>
      <c r="H68" s="12" t="n">
        <f aca="false">H9</f>
        <v>165.25</v>
      </c>
      <c r="I68" s="12" t="n">
        <f aca="false">I9</f>
        <v>168.875</v>
      </c>
      <c r="J68" s="36"/>
      <c r="K68" s="37" t="n">
        <f aca="false">COUNTIF($E$33:$E$52,"&lt;=54")</f>
        <v>3</v>
      </c>
      <c r="L68" s="38" t="n">
        <f aca="false">COUNTIF($E$33:$E$52,"&lt;=58")-K68</f>
        <v>5</v>
      </c>
      <c r="M68" s="34" t="n">
        <f aca="false">COUNTIF($E$33:$E$52,"&lt;=62")-L68-K68</f>
        <v>3</v>
      </c>
      <c r="N68" s="39" t="n">
        <f aca="false">COUNTIF($E$33:$E$52,"&lt;=67")-M68-L68-K68</f>
        <v>8</v>
      </c>
      <c r="O68" s="6" t="n">
        <f aca="false">COUNTIF($E$33:$E$52,"&lt;=71")-N68-M68-L68-K68</f>
        <v>1</v>
      </c>
      <c r="P68" s="7" t="n">
        <f aca="false">COUNTIF($E$33:$E$52,"&lt;=75")-O68-N68-M68-L68-K68</f>
        <v>0</v>
      </c>
      <c r="Q68" s="40" t="n">
        <f aca="false">COUNTIF($E$33:$E$52,"&lt;=79")-P68-O68-N68-M68-L68-K68</f>
        <v>0</v>
      </c>
      <c r="R68" s="41" t="n">
        <f aca="false">COUNTIF($E$33:$E$52,"&lt;=84")-Q68-P68-O68-N68-M68-L68-K68</f>
        <v>0</v>
      </c>
      <c r="S68" s="0" t="n">
        <f aca="false">SUM(K68:R68)</f>
        <v>20</v>
      </c>
      <c r="T68" s="19" t="n">
        <f aca="false">J50</f>
        <v>20</v>
      </c>
      <c r="U68" s="0" t="n">
        <f aca="false">G68</f>
        <v>3</v>
      </c>
    </row>
    <row r="69" customFormat="false" ht="12.75" hidden="false" customHeight="false" outlineLevel="0" collapsed="false">
      <c r="A69" s="0" t="n">
        <v>1</v>
      </c>
      <c r="B69" s="0" t="n">
        <v>172</v>
      </c>
      <c r="C69" s="0" t="n">
        <v>69</v>
      </c>
      <c r="D69" s="34" t="n">
        <v>171</v>
      </c>
      <c r="E69" s="1" t="n">
        <v>67</v>
      </c>
      <c r="G69" s="9" t="n">
        <f aca="false">G10</f>
        <v>4</v>
      </c>
      <c r="H69" s="12" t="n">
        <f aca="false">H10</f>
        <v>168.875</v>
      </c>
      <c r="I69" s="12" t="n">
        <f aca="false">I10</f>
        <v>172.5</v>
      </c>
      <c r="J69" s="36"/>
      <c r="K69" s="37" t="n">
        <f aca="false">COUNTIF($E$53:$E$76,"&lt;=54")</f>
        <v>0</v>
      </c>
      <c r="L69" s="38" t="n">
        <f aca="false">COUNTIF($E$53:$E$76,"&lt;=58")-K69</f>
        <v>1</v>
      </c>
      <c r="M69" s="34" t="n">
        <f aca="false">COUNTIF($E$53:$E$76,"&lt;=62")-L69-K69</f>
        <v>4</v>
      </c>
      <c r="N69" s="39" t="n">
        <f aca="false">COUNTIF($E$53:$E$76,"&lt;=67")-M69-L69-K69</f>
        <v>5</v>
      </c>
      <c r="O69" s="6" t="n">
        <f aca="false">COUNTIF($E$53:$E$76,"&lt;=71")-N69-M69-L69-K69</f>
        <v>6</v>
      </c>
      <c r="P69" s="7" t="n">
        <f aca="false">COUNTIF($E$53:$E$76,"&lt;=75")-O69-N69-M69-L69-K69</f>
        <v>7</v>
      </c>
      <c r="Q69" s="40" t="n">
        <f aca="false">COUNTIF($E$53:$E$76,"&lt;=79")-P69-O69-N69-M69-L69-K69</f>
        <v>1</v>
      </c>
      <c r="R69" s="41" t="n">
        <f aca="false">COUNTIF($E$53:$E$76,"&lt;=84")-Q69-P69-O69-N69-M69-L69-K69</f>
        <v>0</v>
      </c>
      <c r="S69" s="0" t="n">
        <f aca="false">SUM(K69:R69)</f>
        <v>24</v>
      </c>
      <c r="T69" s="19" t="n">
        <f aca="false">J51</f>
        <v>24</v>
      </c>
      <c r="U69" s="0" t="n">
        <f aca="false">G69</f>
        <v>4</v>
      </c>
    </row>
    <row r="70" customFormat="false" ht="12.75" hidden="false" customHeight="false" outlineLevel="0" collapsed="false">
      <c r="A70" s="0" t="n">
        <v>2</v>
      </c>
      <c r="B70" s="0" t="n">
        <v>173</v>
      </c>
      <c r="C70" s="0" t="n">
        <v>66</v>
      </c>
      <c r="D70" s="34" t="n">
        <v>172</v>
      </c>
      <c r="E70" s="1" t="n">
        <v>70</v>
      </c>
      <c r="G70" s="9" t="n">
        <f aca="false">G11</f>
        <v>5</v>
      </c>
      <c r="H70" s="12" t="n">
        <f aca="false">H11</f>
        <v>172.5</v>
      </c>
      <c r="I70" s="12" t="n">
        <f aca="false">I11</f>
        <v>176.125</v>
      </c>
      <c r="J70" s="36"/>
      <c r="K70" s="37" t="n">
        <f aca="false">COUNTIF($E$77:$E$92,"&lt;=54")</f>
        <v>0</v>
      </c>
      <c r="L70" s="38" t="n">
        <f aca="false">COUNTIF($E$77:$E$92,"&lt;=58")-K70</f>
        <v>0</v>
      </c>
      <c r="M70" s="34" t="n">
        <f aca="false">COUNTIF($E$77:$E$92,"&lt;=62")-L70-K70</f>
        <v>1</v>
      </c>
      <c r="N70" s="39" t="n">
        <f aca="false">COUNTIF($E$77:$E$92,"&lt;=67")-M70-L70-K70</f>
        <v>5</v>
      </c>
      <c r="O70" s="6" t="n">
        <f aca="false">COUNTIF($E$77:$E$92,"&lt;=71")-N70-M70-L70-K70</f>
        <v>5</v>
      </c>
      <c r="P70" s="7" t="n">
        <f aca="false">COUNTIF($E$77:$E$92,"&lt;=75")-O70-N70-M70-L70-K70</f>
        <v>4</v>
      </c>
      <c r="Q70" s="40" t="n">
        <f aca="false">COUNTIF($E$77:$E$92,"&lt;=79")-P70-O70-N70-M70-L70-K70</f>
        <v>1</v>
      </c>
      <c r="R70" s="41" t="n">
        <f aca="false">COUNTIF($E$77:$E$92,"&lt;=84")-Q70-P70-O70-N70-M70-L70-K70</f>
        <v>0</v>
      </c>
      <c r="S70" s="0" t="n">
        <f aca="false">SUM(K70:R70)</f>
        <v>16</v>
      </c>
      <c r="T70" s="19" t="n">
        <f aca="false">J52</f>
        <v>16</v>
      </c>
      <c r="U70" s="0" t="n">
        <f aca="false">G70</f>
        <v>5</v>
      </c>
    </row>
    <row r="71" customFormat="false" ht="12.75" hidden="false" customHeight="false" outlineLevel="0" collapsed="false">
      <c r="A71" s="0" t="n">
        <v>3</v>
      </c>
      <c r="B71" s="0" t="n">
        <v>169</v>
      </c>
      <c r="C71" s="0" t="n">
        <v>61</v>
      </c>
      <c r="D71" s="34" t="n">
        <v>172</v>
      </c>
      <c r="E71" s="1" t="n">
        <v>70</v>
      </c>
      <c r="G71" s="9" t="n">
        <f aca="false">G12</f>
        <v>6</v>
      </c>
      <c r="H71" s="12" t="n">
        <f aca="false">H12</f>
        <v>176.125</v>
      </c>
      <c r="I71" s="12" t="n">
        <f aca="false">I12</f>
        <v>179.75</v>
      </c>
      <c r="J71" s="36"/>
      <c r="K71" s="37" t="n">
        <f aca="false">COUNTIF($E$93:$E$97,"&lt;=54")</f>
        <v>0</v>
      </c>
      <c r="L71" s="38" t="n">
        <f aca="false">COUNTIF($E$93:$E$97,"&lt;=58")-K71</f>
        <v>0</v>
      </c>
      <c r="M71" s="34" t="n">
        <f aca="false">COUNTIF($E$93:$E$97,"&lt;=62")-L71-K71</f>
        <v>1</v>
      </c>
      <c r="N71" s="39" t="n">
        <f aca="false">COUNTIF($E$93:$E$97,"&lt;=67")-M71-L71-K71</f>
        <v>0</v>
      </c>
      <c r="O71" s="6" t="n">
        <f aca="false">COUNTIF($E$93:$E$97,"&lt;=71")-N71-M71-L71-K71</f>
        <v>2</v>
      </c>
      <c r="P71" s="7" t="n">
        <f aca="false">COUNTIF($E$93:$E$97,"&lt;=75")-O71-N71-M71-L71-K71</f>
        <v>0</v>
      </c>
      <c r="Q71" s="40" t="n">
        <f aca="false">COUNTIF($E$93:$E$97,"&lt;=79")-P71-O71-N71-M71-L71-K71</f>
        <v>1</v>
      </c>
      <c r="R71" s="41" t="n">
        <f aca="false">COUNTIF($E$93:$E$97,"&lt;=84")-Q71-P71-O71-N71-M71-L71-K71</f>
        <v>1</v>
      </c>
      <c r="S71" s="0" t="n">
        <f aca="false">SUM(K71:R71)</f>
        <v>5</v>
      </c>
      <c r="T71" s="19" t="n">
        <f aca="false">J53</f>
        <v>5</v>
      </c>
      <c r="U71" s="0" t="n">
        <f aca="false">G71</f>
        <v>6</v>
      </c>
    </row>
    <row r="72" customFormat="false" ht="12.75" hidden="false" customHeight="false" outlineLevel="0" collapsed="false">
      <c r="A72" s="0" t="n">
        <v>4</v>
      </c>
      <c r="B72" s="0" t="n">
        <v>165</v>
      </c>
      <c r="C72" s="0" t="n">
        <v>63</v>
      </c>
      <c r="D72" s="34" t="n">
        <v>172</v>
      </c>
      <c r="E72" s="1" t="n">
        <v>69</v>
      </c>
      <c r="G72" s="9" t="n">
        <f aca="false">G13</f>
        <v>7</v>
      </c>
      <c r="H72" s="12" t="n">
        <f aca="false">H13</f>
        <v>179.75</v>
      </c>
      <c r="I72" s="12" t="n">
        <f aca="false">I13</f>
        <v>183.375</v>
      </c>
      <c r="J72" s="36"/>
      <c r="K72" s="37" t="n">
        <f aca="false">COUNTIF($E$98:$E$100,"&lt;=54")</f>
        <v>0</v>
      </c>
      <c r="L72" s="38" t="n">
        <f aca="false">COUNTIF($E$98:$E$100,"&lt;=58")-K72</f>
        <v>0</v>
      </c>
      <c r="M72" s="34" t="n">
        <f aca="false">COUNTIF($E$98:$E$100,"&lt;=62")-L72-K72</f>
        <v>0</v>
      </c>
      <c r="N72" s="39" t="n">
        <f aca="false">COUNTIF($E$98:$E$100,"&lt;=67")-M72-L72-K72</f>
        <v>1</v>
      </c>
      <c r="O72" s="6" t="n">
        <f aca="false">COUNTIF($E$98:$E$100,"&lt;=71")-N72-M72-L72-K72</f>
        <v>2</v>
      </c>
      <c r="P72" s="7" t="n">
        <f aca="false">COUNTIF($E$98:$E$100,"&lt;=75")-O72-N72-M72-L72-K72</f>
        <v>0</v>
      </c>
      <c r="Q72" s="40" t="n">
        <f aca="false">COUNTIF($E$98:$E$100,"&lt;=79")-P72-O72-N72-M72-L72-K72</f>
        <v>0</v>
      </c>
      <c r="R72" s="41" t="n">
        <f aca="false">COUNTIF($E$98:$E$100,"&lt;=84")-Q72-P72-O72-N72-M72-L72-K72</f>
        <v>0</v>
      </c>
      <c r="S72" s="0" t="n">
        <f aca="false">SUM(K72:R72)</f>
        <v>3</v>
      </c>
      <c r="T72" s="19" t="n">
        <f aca="false">J54</f>
        <v>3</v>
      </c>
      <c r="U72" s="0" t="n">
        <f aca="false">G72</f>
        <v>7</v>
      </c>
    </row>
    <row r="73" customFormat="false" ht="12.75" hidden="false" customHeight="false" outlineLevel="0" collapsed="false">
      <c r="A73" s="0" t="n">
        <v>5</v>
      </c>
      <c r="B73" s="0" t="n">
        <v>169</v>
      </c>
      <c r="C73" s="0" t="n">
        <v>75</v>
      </c>
      <c r="D73" s="34" t="n">
        <v>172</v>
      </c>
      <c r="E73" s="1" t="n">
        <v>74</v>
      </c>
      <c r="G73" s="9" t="n">
        <f aca="false">G14</f>
        <v>8</v>
      </c>
      <c r="H73" s="12" t="n">
        <f aca="false">H14</f>
        <v>183.375</v>
      </c>
      <c r="I73" s="12" t="n">
        <f aca="false">I14</f>
        <v>187</v>
      </c>
      <c r="J73" s="36"/>
      <c r="K73" s="37" t="n">
        <v>0</v>
      </c>
      <c r="L73" s="38" t="n">
        <v>0</v>
      </c>
      <c r="M73" s="34" t="n">
        <v>0</v>
      </c>
      <c r="N73" s="39" t="n">
        <v>0</v>
      </c>
      <c r="O73" s="6" t="n">
        <v>0</v>
      </c>
      <c r="P73" s="7" t="n">
        <v>0</v>
      </c>
      <c r="Q73" s="40" t="n">
        <v>0</v>
      </c>
      <c r="R73" s="41" t="n">
        <f aca="false">COUNTIF(E101,"&lt;=84")-Q73-P73-O73-N73-M73-L73-K73</f>
        <v>1</v>
      </c>
      <c r="S73" s="0" t="n">
        <f aca="false">SUM(K73:R73)</f>
        <v>1</v>
      </c>
      <c r="T73" s="19" t="n">
        <f aca="false">J55</f>
        <v>1</v>
      </c>
      <c r="U73" s="0" t="n">
        <f aca="false">G73</f>
        <v>8</v>
      </c>
    </row>
    <row r="74" customFormat="false" ht="12.75" hidden="false" customHeight="false" outlineLevel="0" collapsed="false">
      <c r="A74" s="0" t="n">
        <v>6</v>
      </c>
      <c r="B74" s="0" t="n">
        <v>163</v>
      </c>
      <c r="C74" s="0" t="n">
        <v>63</v>
      </c>
      <c r="D74" s="34" t="n">
        <v>172</v>
      </c>
      <c r="E74" s="1" t="n">
        <v>69</v>
      </c>
      <c r="K74" s="0" t="n">
        <f aca="false">SUM(K66:K73)</f>
        <v>8</v>
      </c>
      <c r="L74" s="0" t="n">
        <f aca="false">SUM(L66:L73)</f>
        <v>11</v>
      </c>
      <c r="M74" s="0" t="n">
        <f aca="false">SUM(M66:M73)</f>
        <v>20</v>
      </c>
      <c r="N74" s="0" t="n">
        <f aca="false">SUM(N66:N73)</f>
        <v>25</v>
      </c>
      <c r="O74" s="0" t="n">
        <f aca="false">SUM(O66:O73)</f>
        <v>19</v>
      </c>
      <c r="P74" s="0" t="n">
        <f aca="false">SUM(P66:P73)</f>
        <v>12</v>
      </c>
      <c r="Q74" s="0" t="n">
        <f aca="false">SUM(Q66:Q73)</f>
        <v>3</v>
      </c>
      <c r="R74" s="0" t="n">
        <f aca="false">SUM(R66:R73)</f>
        <v>2</v>
      </c>
      <c r="S74" s="0" t="n">
        <f aca="false">SUM(K71:R71)</f>
        <v>5</v>
      </c>
      <c r="T74" s="0" t="n">
        <f aca="false">SUM(T66:T73)</f>
        <v>100</v>
      </c>
    </row>
    <row r="75" customFormat="false" ht="12.75" hidden="false" customHeight="false" outlineLevel="0" collapsed="false">
      <c r="A75" s="0" t="n">
        <v>7</v>
      </c>
      <c r="B75" s="0" t="n">
        <v>175</v>
      </c>
      <c r="C75" s="0" t="n">
        <v>67</v>
      </c>
      <c r="D75" s="34" t="n">
        <v>172</v>
      </c>
      <c r="E75" s="1" t="n">
        <v>73</v>
      </c>
      <c r="K75" s="42" t="n">
        <f aca="false">COUNTIF($C$2:$C$101,"&lt;=54,36")</f>
        <v>8</v>
      </c>
      <c r="L75" s="42" t="n">
        <f aca="false">COUNTIF($C$2:$C$101,"&lt;=58,5")-COUNTIF($C$2:$C$101,"&lt;=54,25")</f>
        <v>11</v>
      </c>
      <c r="M75" s="42" t="n">
        <f aca="false">COUNTIF($C$2:$C$101,"&lt;=62,75")-COUNTIF($C$2:$C$101,"&lt;=58,5")</f>
        <v>20</v>
      </c>
      <c r="N75" s="42" t="n">
        <f aca="false">COUNTIF($C$2:$C$101,"&lt;=67")-COUNTIF($C$2:$C$101,"&lt;=62,75")</f>
        <v>25</v>
      </c>
      <c r="O75" s="42" t="n">
        <f aca="false">COUNTIF($C$2:$C$101,"&lt;=71,25")-COUNTIF($C$2:$C$101,"&lt;=67")</f>
        <v>19</v>
      </c>
      <c r="P75" s="42" t="n">
        <f aca="false">COUNTIF($C$2:$C$101,"&lt;=75,5")-COUNTIF($C$2:$C$101,"&lt;=71,25")</f>
        <v>12</v>
      </c>
      <c r="Q75" s="42" t="n">
        <f aca="false">COUNTIF($C$2:$C$101,"&lt;=79,75")-COUNTIF($C$2:$C$101,"&lt;=75,5")</f>
        <v>3</v>
      </c>
      <c r="R75" s="42" t="n">
        <f aca="false">COUNTIF($C$2:$C$101,"&lt;=84")-COUNTIF($C$2:$C$101,"&lt;=79,75")</f>
        <v>2</v>
      </c>
      <c r="S75" s="0" t="n">
        <f aca="false">SUM(K72:R72)</f>
        <v>3</v>
      </c>
    </row>
    <row r="76" customFormat="false" ht="12.75" hidden="false" customHeight="false" outlineLevel="0" collapsed="false">
      <c r="A76" s="0" t="n">
        <v>8</v>
      </c>
      <c r="B76" s="0" t="n">
        <v>171</v>
      </c>
      <c r="C76" s="0" t="n">
        <v>60</v>
      </c>
      <c r="D76" s="34" t="n">
        <v>172</v>
      </c>
      <c r="E76" s="1" t="n">
        <v>69</v>
      </c>
      <c r="S76" s="0" t="n">
        <f aca="false">SUM(K73:R73)</f>
        <v>1</v>
      </c>
    </row>
    <row r="77" customFormat="false" ht="12.75" hidden="false" customHeight="false" outlineLevel="0" collapsed="false">
      <c r="A77" s="0" t="n">
        <v>9</v>
      </c>
      <c r="B77" s="0" t="n">
        <v>167</v>
      </c>
      <c r="C77" s="0" t="n">
        <v>53</v>
      </c>
      <c r="D77" s="37" t="n">
        <v>173</v>
      </c>
      <c r="E77" s="1" t="n">
        <v>70</v>
      </c>
      <c r="F77" s="2" t="s">
        <v>82</v>
      </c>
      <c r="J77" s="43"/>
      <c r="K77" s="44" t="n">
        <f aca="false">(J65+K65)/2</f>
        <v>52.125</v>
      </c>
      <c r="L77" s="44" t="n">
        <f aca="false">(K65+L65)/2</f>
        <v>56.375</v>
      </c>
      <c r="M77" s="44" t="n">
        <f aca="false">(L65+M65)/2</f>
        <v>60.625</v>
      </c>
      <c r="N77" s="44" t="n">
        <f aca="false">(M65+N65)/2</f>
        <v>64.875</v>
      </c>
      <c r="O77" s="44" t="n">
        <f aca="false">(N65+O65)/2</f>
        <v>69.125</v>
      </c>
      <c r="P77" s="44" t="n">
        <f aca="false">(O65+P65)/2</f>
        <v>73.375</v>
      </c>
      <c r="Q77" s="44" t="n">
        <f aca="false">(P65+Q65)/2</f>
        <v>77.625</v>
      </c>
      <c r="R77" s="44" t="n">
        <f aca="false">(Q65+R65)/2</f>
        <v>81.875</v>
      </c>
      <c r="T77" s="0" t="n">
        <f aca="false">SUM(K74:R74)</f>
        <v>100</v>
      </c>
    </row>
    <row r="78" customFormat="false" ht="12.75" hidden="false" customHeight="false" outlineLevel="0" collapsed="false">
      <c r="A78" s="0" t="n">
        <v>10</v>
      </c>
      <c r="B78" s="0" t="n">
        <v>164</v>
      </c>
      <c r="C78" s="0" t="n">
        <v>57</v>
      </c>
      <c r="D78" s="37" t="n">
        <v>173</v>
      </c>
      <c r="E78" s="1" t="n">
        <v>75</v>
      </c>
      <c r="I78" s="0" t="n">
        <v>1</v>
      </c>
      <c r="J78" s="45" t="n">
        <f aca="false">(H66+I66)/2</f>
        <v>159.8125</v>
      </c>
      <c r="K78" s="0" t="n">
        <f aca="false">K66/$T$78</f>
        <v>0.03</v>
      </c>
      <c r="L78" s="0" t="n">
        <f aca="false">L66/$T$78</f>
        <v>0.02</v>
      </c>
      <c r="M78" s="0" t="n">
        <f aca="false">M66/$T$78</f>
        <v>0.02</v>
      </c>
      <c r="N78" s="0" t="n">
        <f aca="false">N66/$T$78</f>
        <v>0.01</v>
      </c>
      <c r="O78" s="0" t="n">
        <f aca="false">O66/$T$78</f>
        <v>0.01</v>
      </c>
      <c r="P78" s="0" t="n">
        <f aca="false">P66/$T$78</f>
        <v>0</v>
      </c>
      <c r="Q78" s="0" t="n">
        <f aca="false">Q66/$T$78</f>
        <v>0</v>
      </c>
      <c r="R78" s="0" t="n">
        <f aca="false">R66/$T$78</f>
        <v>0</v>
      </c>
      <c r="S78" s="1" t="n">
        <f aca="false">SUM(K78:R78)</f>
        <v>0.09</v>
      </c>
      <c r="T78" s="0" t="n">
        <f aca="false">SUM(K75:R75)</f>
        <v>100</v>
      </c>
    </row>
    <row r="79" customFormat="false" ht="12.75" hidden="false" customHeight="false" outlineLevel="0" collapsed="false">
      <c r="A79" s="0" t="n">
        <v>11</v>
      </c>
      <c r="B79" s="0" t="n">
        <v>158</v>
      </c>
      <c r="C79" s="0" t="n">
        <v>60</v>
      </c>
      <c r="D79" s="37" t="n">
        <v>173</v>
      </c>
      <c r="E79" s="1" t="n">
        <v>69</v>
      </c>
      <c r="I79" s="0" t="n">
        <v>2</v>
      </c>
      <c r="J79" s="45" t="n">
        <f aca="false">(H67+I67)/2</f>
        <v>163.4375</v>
      </c>
      <c r="K79" s="0" t="n">
        <f aca="false">K67/$T$78</f>
        <v>0.02</v>
      </c>
      <c r="L79" s="0" t="n">
        <f aca="false">L67/$T$78</f>
        <v>0.03</v>
      </c>
      <c r="M79" s="0" t="n">
        <f aca="false">M67/$T$78</f>
        <v>0.09</v>
      </c>
      <c r="N79" s="0" t="n">
        <f aca="false">N67/$T$78</f>
        <v>0.05</v>
      </c>
      <c r="O79" s="0" t="n">
        <f aca="false">O67/$T$78</f>
        <v>0.02</v>
      </c>
      <c r="P79" s="0" t="n">
        <f aca="false">P67/$T$78</f>
        <v>0.01</v>
      </c>
      <c r="Q79" s="0" t="n">
        <f aca="false">Q67/$T$78</f>
        <v>0</v>
      </c>
      <c r="R79" s="0" t="n">
        <f aca="false">R67/$T$78</f>
        <v>0</v>
      </c>
      <c r="S79" s="1" t="n">
        <f aca="false">SUM(K79:R79)</f>
        <v>0.22</v>
      </c>
    </row>
    <row r="80" customFormat="false" ht="12.75" hidden="false" customHeight="false" outlineLevel="0" collapsed="false">
      <c r="A80" s="0" t="n">
        <v>12</v>
      </c>
      <c r="B80" s="0" t="n">
        <v>174</v>
      </c>
      <c r="C80" s="0" t="n">
        <v>66</v>
      </c>
      <c r="D80" s="37" t="n">
        <v>173</v>
      </c>
      <c r="E80" s="1" t="n">
        <v>74</v>
      </c>
      <c r="I80" s="0" t="n">
        <v>3</v>
      </c>
      <c r="J80" s="45" t="n">
        <f aca="false">(H68+I68)/2</f>
        <v>167.0625</v>
      </c>
      <c r="K80" s="0" t="n">
        <f aca="false">K68/$T$78</f>
        <v>0.03</v>
      </c>
      <c r="L80" s="0" t="n">
        <f aca="false">L68/$T$78</f>
        <v>0.05</v>
      </c>
      <c r="M80" s="0" t="n">
        <f aca="false">M68/$T$78</f>
        <v>0.03</v>
      </c>
      <c r="N80" s="0" t="n">
        <f aca="false">N68/$T$78</f>
        <v>0.08</v>
      </c>
      <c r="O80" s="0" t="n">
        <f aca="false">O68/$T$78</f>
        <v>0.01</v>
      </c>
      <c r="P80" s="0" t="n">
        <f aca="false">P68/$T$78</f>
        <v>0</v>
      </c>
      <c r="Q80" s="0" t="n">
        <f aca="false">Q68/$T$78</f>
        <v>0</v>
      </c>
      <c r="R80" s="0" t="n">
        <f aca="false">R68/$T$78</f>
        <v>0</v>
      </c>
      <c r="S80" s="1" t="n">
        <f aca="false">SUM(K80:R80)</f>
        <v>0.2</v>
      </c>
    </row>
    <row r="81" customFormat="false" ht="12.75" hidden="false" customHeight="false" outlineLevel="0" collapsed="false">
      <c r="A81" s="0" t="n">
        <v>13</v>
      </c>
      <c r="B81" s="0" t="n">
        <v>171</v>
      </c>
      <c r="C81" s="0" t="n">
        <v>72</v>
      </c>
      <c r="D81" s="37" t="n">
        <v>173</v>
      </c>
      <c r="E81" s="1" t="n">
        <v>72</v>
      </c>
      <c r="I81" s="0" t="n">
        <v>4</v>
      </c>
      <c r="J81" s="45" t="n">
        <f aca="false">(H69+I69)/2</f>
        <v>170.6875</v>
      </c>
      <c r="K81" s="0" t="n">
        <f aca="false">K69/$T$78</f>
        <v>0</v>
      </c>
      <c r="L81" s="0" t="n">
        <f aca="false">L69/$T$78</f>
        <v>0.01</v>
      </c>
      <c r="M81" s="0" t="n">
        <f aca="false">M69/$T$78</f>
        <v>0.04</v>
      </c>
      <c r="N81" s="0" t="n">
        <f aca="false">N69/$T$78</f>
        <v>0.05</v>
      </c>
      <c r="O81" s="0" t="n">
        <f aca="false">O69/$T$78</f>
        <v>0.06</v>
      </c>
      <c r="P81" s="0" t="n">
        <f aca="false">P69/$T$78</f>
        <v>0.07</v>
      </c>
      <c r="Q81" s="0" t="n">
        <f aca="false">Q69/$T$78</f>
        <v>0.01</v>
      </c>
      <c r="R81" s="0" t="n">
        <f aca="false">R69/$T$78</f>
        <v>0</v>
      </c>
      <c r="S81" s="1" t="n">
        <f aca="false">SUM(K81:R81)</f>
        <v>0.24</v>
      </c>
    </row>
    <row r="82" customFormat="false" ht="12.75" hidden="false" customHeight="false" outlineLevel="0" collapsed="false">
      <c r="A82" s="0" t="n">
        <v>14</v>
      </c>
      <c r="B82" s="0" t="n">
        <v>179</v>
      </c>
      <c r="C82" s="0" t="n">
        <v>71</v>
      </c>
      <c r="D82" s="37" t="n">
        <v>173</v>
      </c>
      <c r="E82" s="1" t="n">
        <v>69</v>
      </c>
      <c r="I82" s="0" t="n">
        <v>5</v>
      </c>
      <c r="J82" s="45" t="n">
        <f aca="false">(H70+I70)/2</f>
        <v>174.3125</v>
      </c>
      <c r="K82" s="0" t="n">
        <f aca="false">K70/$T$78</f>
        <v>0</v>
      </c>
      <c r="L82" s="0" t="n">
        <f aca="false">L70/$T$78</f>
        <v>0</v>
      </c>
      <c r="M82" s="0" t="n">
        <f aca="false">M70/$T$78</f>
        <v>0.01</v>
      </c>
      <c r="N82" s="0" t="n">
        <f aca="false">N70/$T$78</f>
        <v>0.05</v>
      </c>
      <c r="O82" s="0" t="n">
        <f aca="false">O70/$T$78</f>
        <v>0.05</v>
      </c>
      <c r="P82" s="0" t="n">
        <f aca="false">P70/$T$78</f>
        <v>0.04</v>
      </c>
      <c r="Q82" s="0" t="n">
        <f aca="false">Q70/$T$78</f>
        <v>0.01</v>
      </c>
      <c r="R82" s="0" t="n">
        <f aca="false">R70/$T$78</f>
        <v>0</v>
      </c>
      <c r="S82" s="1" t="n">
        <f aca="false">SUM(K82:R82)</f>
        <v>0.16</v>
      </c>
    </row>
    <row r="83" customFormat="false" ht="12.75" hidden="false" customHeight="false" outlineLevel="0" collapsed="false">
      <c r="A83" s="0" t="n">
        <v>15</v>
      </c>
      <c r="B83" s="0" t="n">
        <v>167</v>
      </c>
      <c r="C83" s="0" t="n">
        <v>63</v>
      </c>
      <c r="D83" s="37" t="n">
        <v>173</v>
      </c>
      <c r="E83" s="1" t="n">
        <v>77</v>
      </c>
      <c r="I83" s="0" t="n">
        <v>6</v>
      </c>
      <c r="J83" s="45" t="n">
        <f aca="false">(H71+I71)/2</f>
        <v>177.9375</v>
      </c>
      <c r="K83" s="0" t="n">
        <f aca="false">K71/$T$78</f>
        <v>0</v>
      </c>
      <c r="L83" s="0" t="n">
        <f aca="false">L71/$T$78</f>
        <v>0</v>
      </c>
      <c r="M83" s="0" t="n">
        <f aca="false">M71/$T$78</f>
        <v>0.01</v>
      </c>
      <c r="N83" s="0" t="n">
        <f aca="false">N71/$T$78</f>
        <v>0</v>
      </c>
      <c r="O83" s="0" t="n">
        <f aca="false">O71/$T$78</f>
        <v>0.02</v>
      </c>
      <c r="P83" s="0" t="n">
        <f aca="false">P71/$T$78</f>
        <v>0</v>
      </c>
      <c r="Q83" s="0" t="n">
        <f aca="false">Q71/$T$78</f>
        <v>0.01</v>
      </c>
      <c r="R83" s="0" t="n">
        <f aca="false">R71/$T$78</f>
        <v>0.01</v>
      </c>
      <c r="S83" s="1" t="n">
        <f aca="false">SUM(K83:R83)</f>
        <v>0.05</v>
      </c>
    </row>
    <row r="84" customFormat="false" ht="12.75" hidden="false" customHeight="false" outlineLevel="0" collapsed="false">
      <c r="A84" s="0" t="n">
        <v>16</v>
      </c>
      <c r="B84" s="0" t="n">
        <v>173</v>
      </c>
      <c r="C84" s="0" t="n">
        <v>69</v>
      </c>
      <c r="D84" s="37" t="n">
        <v>173</v>
      </c>
      <c r="E84" s="1" t="n">
        <v>66</v>
      </c>
      <c r="I84" s="0" t="n">
        <v>7</v>
      </c>
      <c r="J84" s="45" t="n">
        <f aca="false">(H72+I72)/2</f>
        <v>181.5625</v>
      </c>
      <c r="K84" s="0" t="n">
        <f aca="false">K72/$T$78</f>
        <v>0</v>
      </c>
      <c r="L84" s="0" t="n">
        <f aca="false">L72/$T$78</f>
        <v>0</v>
      </c>
      <c r="M84" s="0" t="n">
        <f aca="false">M72/$T$78</f>
        <v>0</v>
      </c>
      <c r="N84" s="0" t="n">
        <f aca="false">N72/$T$78</f>
        <v>0.01</v>
      </c>
      <c r="O84" s="0" t="n">
        <f aca="false">O72/$T$78</f>
        <v>0.02</v>
      </c>
      <c r="P84" s="0" t="n">
        <f aca="false">P72/$T$78</f>
        <v>0</v>
      </c>
      <c r="Q84" s="0" t="n">
        <f aca="false">Q72/$T$78</f>
        <v>0</v>
      </c>
      <c r="R84" s="0" t="n">
        <f aca="false">R72/$T$78</f>
        <v>0</v>
      </c>
      <c r="S84" s="1" t="n">
        <f aca="false">SUM(K84:R84)</f>
        <v>0.03</v>
      </c>
    </row>
    <row r="85" customFormat="false" ht="12.75" hidden="false" customHeight="false" outlineLevel="0" collapsed="false">
      <c r="A85" s="0" t="n">
        <v>17</v>
      </c>
      <c r="B85" s="0" t="n">
        <v>167</v>
      </c>
      <c r="C85" s="0" t="n">
        <v>58</v>
      </c>
      <c r="D85" s="37" t="n">
        <v>173</v>
      </c>
      <c r="E85" s="1" t="n">
        <v>69</v>
      </c>
      <c r="I85" s="0" t="n">
        <v>8</v>
      </c>
      <c r="J85" s="45" t="n">
        <f aca="false">(H73+I73)/2</f>
        <v>185.1875</v>
      </c>
      <c r="K85" s="0" t="n">
        <f aca="false">K73/$T$78</f>
        <v>0</v>
      </c>
      <c r="L85" s="0" t="n">
        <f aca="false">L73/$T$78</f>
        <v>0</v>
      </c>
      <c r="M85" s="0" t="n">
        <f aca="false">M73/$T$78</f>
        <v>0</v>
      </c>
      <c r="N85" s="0" t="n">
        <f aca="false">N73/$T$78</f>
        <v>0</v>
      </c>
      <c r="O85" s="0" t="n">
        <f aca="false">O73/$T$78</f>
        <v>0</v>
      </c>
      <c r="P85" s="0" t="n">
        <f aca="false">P73/$T$78</f>
        <v>0</v>
      </c>
      <c r="Q85" s="0" t="n">
        <f aca="false">Q73/$T$78</f>
        <v>0</v>
      </c>
      <c r="R85" s="0" t="n">
        <f aca="false">R73/$T$78</f>
        <v>0.01</v>
      </c>
      <c r="S85" s="1" t="n">
        <f aca="false">SUM(K85:R85)</f>
        <v>0.01</v>
      </c>
    </row>
    <row r="86" customFormat="false" ht="12.75" hidden="false" customHeight="false" outlineLevel="0" collapsed="false">
      <c r="A86" s="0" t="n">
        <v>18</v>
      </c>
      <c r="B86" s="0" t="n">
        <v>161</v>
      </c>
      <c r="C86" s="0" t="n">
        <v>52</v>
      </c>
      <c r="D86" s="37" t="n">
        <v>174</v>
      </c>
      <c r="E86" s="1" t="n">
        <v>67</v>
      </c>
      <c r="F86" s="2" t="s">
        <v>83</v>
      </c>
      <c r="G86" s="2"/>
      <c r="J86" s="46"/>
      <c r="K86" s="47" t="n">
        <f aca="false">SUM(K78:K85)</f>
        <v>0.08</v>
      </c>
      <c r="L86" s="48" t="n">
        <f aca="false">SUM(L78:L85)</f>
        <v>0.11</v>
      </c>
      <c r="M86" s="48" t="n">
        <f aca="false">SUM(M78:M85)</f>
        <v>0.2</v>
      </c>
      <c r="N86" s="48" t="n">
        <f aca="false">SUM(N78:N85)</f>
        <v>0.25</v>
      </c>
      <c r="O86" s="48" t="n">
        <f aca="false">SUM(O78:O85)</f>
        <v>0.19</v>
      </c>
      <c r="P86" s="48" t="n">
        <f aca="false">SUM(P78:P85)</f>
        <v>0.12</v>
      </c>
      <c r="Q86" s="48" t="n">
        <f aca="false">SUM(Q78:Q85)</f>
        <v>0.03</v>
      </c>
      <c r="R86" s="48" t="n">
        <f aca="false">SUM(R78:R85)</f>
        <v>0.02</v>
      </c>
    </row>
    <row r="87" customFormat="false" ht="12.75" hidden="false" customHeight="false" outlineLevel="0" collapsed="false">
      <c r="A87" s="0" t="n">
        <v>19</v>
      </c>
      <c r="B87" s="0" t="n">
        <v>171</v>
      </c>
      <c r="C87" s="0" t="n">
        <v>60</v>
      </c>
      <c r="D87" s="37" t="n">
        <v>174</v>
      </c>
      <c r="E87" s="1" t="n">
        <v>74</v>
      </c>
    </row>
    <row r="88" customFormat="false" ht="12.75" hidden="false" customHeight="false" outlineLevel="0" collapsed="false">
      <c r="A88" s="0" t="n">
        <v>20</v>
      </c>
      <c r="B88" s="0" t="n">
        <v>172</v>
      </c>
      <c r="C88" s="0" t="n">
        <v>74</v>
      </c>
      <c r="D88" s="37" t="n">
        <v>174</v>
      </c>
      <c r="E88" s="1" t="n">
        <v>66</v>
      </c>
      <c r="J88" s="0" t="n">
        <v>1</v>
      </c>
      <c r="K88" s="5" t="n">
        <f aca="false">$J$78*K77*K78</f>
        <v>249.906796875</v>
      </c>
      <c r="L88" s="5" t="n">
        <f aca="false">$J$78*L77*L78</f>
        <v>180.18859375</v>
      </c>
      <c r="M88" s="5" t="n">
        <f aca="false">$J$78*M77*M78</f>
        <v>193.77265625</v>
      </c>
      <c r="N88" s="5" t="n">
        <f aca="false">$J$78*N77*N78</f>
        <v>103.678359375</v>
      </c>
      <c r="O88" s="5" t="n">
        <f aca="false">$J$78*O77*O78</f>
        <v>110.470390625</v>
      </c>
      <c r="P88" s="5" t="n">
        <f aca="false">$J$78*P77*P78</f>
        <v>0</v>
      </c>
      <c r="Q88" s="5" t="n">
        <f aca="false">$J$78*Q77*Q78</f>
        <v>0</v>
      </c>
      <c r="R88" s="5" t="n">
        <f aca="false">$J$78*R77*R78</f>
        <v>0</v>
      </c>
      <c r="S88" s="12" t="n">
        <f aca="false">SUM(K88:R88)</f>
        <v>838.016796875</v>
      </c>
    </row>
    <row r="89" customFormat="false" ht="12.75" hidden="false" customHeight="false" outlineLevel="0" collapsed="false">
      <c r="A89" s="0" t="n">
        <v>21</v>
      </c>
      <c r="B89" s="0" t="n">
        <v>160</v>
      </c>
      <c r="C89" s="0" t="n">
        <v>50</v>
      </c>
      <c r="D89" s="37" t="n">
        <v>175</v>
      </c>
      <c r="E89" s="1" t="n">
        <v>59</v>
      </c>
      <c r="J89" s="0" t="n">
        <v>2</v>
      </c>
      <c r="K89" s="5" t="n">
        <f aca="false">$J$79*K77*K79</f>
        <v>170.38359375</v>
      </c>
      <c r="L89" s="5" t="n">
        <f aca="false">$J$79*L77*L79</f>
        <v>276.413671875</v>
      </c>
      <c r="M89" s="5" t="n">
        <f aca="false">$J$79*M77*M79</f>
        <v>891.755859375</v>
      </c>
      <c r="N89" s="5" t="n">
        <f aca="false">$J$79*N77*N79</f>
        <v>530.150390625</v>
      </c>
      <c r="O89" s="5" t="n">
        <f aca="false">$J$79*O77*O79</f>
        <v>225.95234375</v>
      </c>
      <c r="P89" s="5" t="n">
        <f aca="false">$J$79*P77*P79</f>
        <v>119.922265625</v>
      </c>
      <c r="Q89" s="5" t="n">
        <f aca="false">$J$79*Q77*Q79</f>
        <v>0</v>
      </c>
      <c r="R89" s="5" t="n">
        <f aca="false">$J$79*R77*R79</f>
        <v>0</v>
      </c>
      <c r="S89" s="12" t="n">
        <f aca="false">SUM(K89:R89)</f>
        <v>2214.578125</v>
      </c>
    </row>
    <row r="90" customFormat="false" ht="12.75" hidden="false" customHeight="false" outlineLevel="0" collapsed="false">
      <c r="A90" s="0" t="n">
        <v>22</v>
      </c>
      <c r="B90" s="0" t="n">
        <v>159</v>
      </c>
      <c r="C90" s="0" t="n">
        <v>68</v>
      </c>
      <c r="D90" s="37" t="n">
        <v>175</v>
      </c>
      <c r="E90" s="1" t="n">
        <v>67</v>
      </c>
      <c r="J90" s="0" t="n">
        <v>3</v>
      </c>
      <c r="K90" s="5" t="n">
        <f aca="false">$J$80*K80*K77</f>
        <v>261.243984375</v>
      </c>
      <c r="L90" s="5" t="n">
        <f aca="false">$J$80*L80*L77</f>
        <v>470.907421875</v>
      </c>
      <c r="M90" s="5" t="n">
        <f aca="false">$J$80*M80*M77</f>
        <v>303.844921875</v>
      </c>
      <c r="N90" s="5" t="n">
        <f aca="false">$J$80*N80*N77</f>
        <v>867.054375</v>
      </c>
      <c r="O90" s="5" t="n">
        <f aca="false">$J$80*O80*O77</f>
        <v>115.481953125</v>
      </c>
      <c r="P90" s="5" t="n">
        <f aca="false">$J$80*P80*P77</f>
        <v>0</v>
      </c>
      <c r="Q90" s="5" t="n">
        <f aca="false">$J$80*Q80*Q77</f>
        <v>0</v>
      </c>
      <c r="R90" s="5" t="n">
        <f aca="false">$J$80*R80*R77</f>
        <v>0</v>
      </c>
      <c r="S90" s="12" t="n">
        <f aca="false">SUM(K90:R90)</f>
        <v>2018.53265625</v>
      </c>
    </row>
    <row r="91" customFormat="false" ht="12.75" hidden="false" customHeight="false" outlineLevel="0" collapsed="false">
      <c r="A91" s="0" t="n">
        <v>23</v>
      </c>
      <c r="B91" s="0" t="n">
        <v>163</v>
      </c>
      <c r="C91" s="0" t="n">
        <v>72</v>
      </c>
      <c r="D91" s="37" t="n">
        <v>176</v>
      </c>
      <c r="E91" s="1" t="n">
        <v>70</v>
      </c>
      <c r="J91" s="0" t="n">
        <v>4</v>
      </c>
      <c r="K91" s="5" t="n">
        <f aca="false">$J$81*K81*K77</f>
        <v>0</v>
      </c>
      <c r="L91" s="5" t="n">
        <f aca="false">$J$81*L81*L77</f>
        <v>96.225078125</v>
      </c>
      <c r="M91" s="5" t="n">
        <f aca="false">$J$81*M81*M77</f>
        <v>413.9171875</v>
      </c>
      <c r="N91" s="5" t="n">
        <f aca="false">$J$81*N81*N77</f>
        <v>553.667578125</v>
      </c>
      <c r="O91" s="5" t="n">
        <f aca="false">$J$81*O81*O77</f>
        <v>707.92640625</v>
      </c>
      <c r="P91" s="5" t="n">
        <f aca="false">$J$81*P81*P77</f>
        <v>876.693671875</v>
      </c>
      <c r="Q91" s="5" t="n">
        <f aca="false">$J$81*Q81*Q77</f>
        <v>132.496171875</v>
      </c>
      <c r="R91" s="5" t="n">
        <f aca="false">$J$81*R81*R77</f>
        <v>0</v>
      </c>
      <c r="S91" s="12" t="n">
        <f aca="false">SUM(K91:R91)</f>
        <v>2780.92609375</v>
      </c>
    </row>
    <row r="92" customFormat="false" ht="12.75" hidden="false" customHeight="false" outlineLevel="0" collapsed="false">
      <c r="A92" s="0" t="n">
        <v>24</v>
      </c>
      <c r="B92" s="0" t="n">
        <v>167</v>
      </c>
      <c r="C92" s="0" t="n">
        <v>63</v>
      </c>
      <c r="D92" s="37" t="n">
        <v>176</v>
      </c>
      <c r="E92" s="1" t="n">
        <v>65</v>
      </c>
      <c r="J92" s="0" t="n">
        <v>5</v>
      </c>
      <c r="K92" s="5" t="n">
        <f aca="false">$J$82*K82*K77</f>
        <v>0</v>
      </c>
      <c r="L92" s="5" t="n">
        <f aca="false">$J$82*L82*L77</f>
        <v>0</v>
      </c>
      <c r="M92" s="5" t="n">
        <f aca="false">$J$82*M82*M77</f>
        <v>105.676953125</v>
      </c>
      <c r="N92" s="5" t="n">
        <f aca="false">$J$82*N82*N77</f>
        <v>565.426171875</v>
      </c>
      <c r="O92" s="5" t="n">
        <f aca="false">$J$82*O82*O77</f>
        <v>602.467578125</v>
      </c>
      <c r="P92" s="5" t="n">
        <f aca="false">$J$82*P82*P77</f>
        <v>511.6071875</v>
      </c>
      <c r="Q92" s="5" t="n">
        <f aca="false">$J$82*Q82*Q77</f>
        <v>135.310078125</v>
      </c>
      <c r="R92" s="5" t="n">
        <f aca="false">$J$82*R82*R77</f>
        <v>0</v>
      </c>
      <c r="S92" s="12" t="n">
        <f aca="false">SUM(K92:R92)</f>
        <v>1920.48796875</v>
      </c>
    </row>
    <row r="93" customFormat="false" ht="12.75" hidden="false" customHeight="false" outlineLevel="0" collapsed="false">
      <c r="A93" s="0" t="n">
        <v>25</v>
      </c>
      <c r="B93" s="0" t="n">
        <v>172</v>
      </c>
      <c r="C93" s="0" t="n">
        <v>69</v>
      </c>
      <c r="D93" s="7" t="n">
        <v>178</v>
      </c>
      <c r="E93" s="1" t="n">
        <v>62</v>
      </c>
      <c r="F93" s="2" t="s">
        <v>84</v>
      </c>
      <c r="J93" s="0" t="n">
        <v>6</v>
      </c>
      <c r="K93" s="5" t="n">
        <f aca="false">$J$83*K83*K77</f>
        <v>0</v>
      </c>
      <c r="L93" s="5" t="n">
        <f aca="false">$J$83*L83*L77</f>
        <v>0</v>
      </c>
      <c r="M93" s="5" t="n">
        <f aca="false">$J$83*M83*M77</f>
        <v>107.874609375</v>
      </c>
      <c r="N93" s="5" t="n">
        <f aca="false">$J$83*N83*N77</f>
        <v>0</v>
      </c>
      <c r="O93" s="5" t="n">
        <f aca="false">$J$83*O83*O77</f>
        <v>245.99859375</v>
      </c>
      <c r="P93" s="5" t="n">
        <f aca="false">$J$83*P83*P77</f>
        <v>0</v>
      </c>
      <c r="Q93" s="5" t="n">
        <f aca="false">$J$83*Q83*Q77</f>
        <v>138.123984375</v>
      </c>
      <c r="R93" s="5" t="n">
        <f aca="false">$J$83*R83*R77</f>
        <v>145.686328125</v>
      </c>
      <c r="S93" s="12" t="n">
        <f aca="false">SUM(K93:R93)</f>
        <v>637.683515625</v>
      </c>
    </row>
    <row r="94" customFormat="false" ht="12.75" hidden="false" customHeight="false" outlineLevel="0" collapsed="false">
      <c r="A94" s="0" t="n">
        <v>26</v>
      </c>
      <c r="B94" s="0" t="n">
        <v>165</v>
      </c>
      <c r="C94" s="0" t="n">
        <v>64</v>
      </c>
      <c r="D94" s="7" t="n">
        <v>179</v>
      </c>
      <c r="E94" s="1" t="n">
        <v>77</v>
      </c>
      <c r="F94" s="2" t="s">
        <v>85</v>
      </c>
      <c r="J94" s="0" t="n">
        <v>7</v>
      </c>
      <c r="K94" s="5" t="n">
        <f aca="false">$J$84*K84*K77</f>
        <v>0</v>
      </c>
      <c r="L94" s="5" t="n">
        <f aca="false">$J$84*L84*L77</f>
        <v>0</v>
      </c>
      <c r="M94" s="5" t="n">
        <f aca="false">$J$84*M84*M77</f>
        <v>0</v>
      </c>
      <c r="N94" s="5" t="n">
        <f aca="false">$J$84*N84*N77</f>
        <v>117.788671875</v>
      </c>
      <c r="O94" s="5" t="n">
        <f aca="false">$J$84*O84*O77</f>
        <v>251.01015625</v>
      </c>
      <c r="P94" s="5" t="n">
        <f aca="false">$J$84*P84*P77</f>
        <v>0</v>
      </c>
      <c r="Q94" s="5" t="n">
        <f aca="false">$J$84*Q84*Q77</f>
        <v>0</v>
      </c>
      <c r="R94" s="5" t="n">
        <f aca="false">$J$84*R84*R77</f>
        <v>0</v>
      </c>
      <c r="S94" s="12" t="n">
        <f aca="false">SUM(K94:R94)</f>
        <v>368.798828125</v>
      </c>
    </row>
    <row r="95" customFormat="false" ht="12.75" hidden="false" customHeight="false" outlineLevel="0" collapsed="false">
      <c r="A95" s="0" t="n">
        <v>27</v>
      </c>
      <c r="B95" s="0" t="n">
        <v>172</v>
      </c>
      <c r="C95" s="0" t="n">
        <v>73</v>
      </c>
      <c r="D95" s="7" t="n">
        <v>179</v>
      </c>
      <c r="E95" s="1" t="n">
        <v>80</v>
      </c>
      <c r="J95" s="0" t="n">
        <v>8</v>
      </c>
      <c r="K95" s="5" t="n">
        <f aca="false">$J$85*K85*K77</f>
        <v>0</v>
      </c>
      <c r="L95" s="5" t="n">
        <f aca="false">$J$85*L85*L77</f>
        <v>0</v>
      </c>
      <c r="M95" s="5" t="n">
        <f aca="false">$J$85*M85*M77</f>
        <v>0</v>
      </c>
      <c r="N95" s="5" t="n">
        <f aca="false">$J$85*N85*N77</f>
        <v>0</v>
      </c>
      <c r="O95" s="5" t="n">
        <f aca="false">$J$85*O85*O77</f>
        <v>0</v>
      </c>
      <c r="P95" s="5" t="n">
        <f aca="false">$J$85*P85*P77</f>
        <v>0</v>
      </c>
      <c r="Q95" s="5" t="n">
        <f aca="false">$J$85*Q85*Q77</f>
        <v>0</v>
      </c>
      <c r="R95" s="5" t="n">
        <f aca="false">$J$85*R85*R77</f>
        <v>151.622265625</v>
      </c>
      <c r="S95" s="12" t="n">
        <f aca="false">SUM(K95:R95)</f>
        <v>151.622265625</v>
      </c>
    </row>
    <row r="96" customFormat="false" ht="12.75" hidden="false" customHeight="false" outlineLevel="0" collapsed="false">
      <c r="A96" s="0" t="n">
        <v>28</v>
      </c>
      <c r="B96" s="0" t="n">
        <v>162</v>
      </c>
      <c r="C96" s="0" t="n">
        <v>53</v>
      </c>
      <c r="D96" s="7" t="n">
        <v>179</v>
      </c>
      <c r="E96" s="1" t="n">
        <v>69</v>
      </c>
      <c r="K96" s="12" t="n">
        <f aca="false">SUM(K88:K95)</f>
        <v>681.534375</v>
      </c>
      <c r="L96" s="12" t="n">
        <f aca="false">SUM(L88:L95)</f>
        <v>1023.734765625</v>
      </c>
      <c r="M96" s="12" t="n">
        <f aca="false">SUM(M88:M95)</f>
        <v>2016.8421875</v>
      </c>
      <c r="N96" s="12" t="n">
        <f aca="false">SUM(N88:N95)</f>
        <v>2737.765546875</v>
      </c>
      <c r="O96" s="12" t="n">
        <f aca="false">SUM(O88:O95)</f>
        <v>2259.307421875</v>
      </c>
      <c r="P96" s="12" t="n">
        <f aca="false">SUM(P88:P95)</f>
        <v>1508.223125</v>
      </c>
      <c r="Q96" s="12" t="n">
        <f aca="false">SUM(Q88:Q95)</f>
        <v>405.930234375</v>
      </c>
      <c r="R96" s="12" t="n">
        <f aca="false">SUM(R88:R95)</f>
        <v>297.30859375</v>
      </c>
      <c r="S96" s="12" t="n">
        <f aca="false">SUM(K96:R96)</f>
        <v>10930.64625</v>
      </c>
      <c r="T96" s="0" t="s">
        <v>86</v>
      </c>
    </row>
    <row r="97" customFormat="false" ht="12.75" hidden="false" customHeight="false" outlineLevel="0" collapsed="false">
      <c r="A97" s="0" t="n">
        <v>29</v>
      </c>
      <c r="B97" s="0" t="n">
        <v>180</v>
      </c>
      <c r="C97" s="0" t="n">
        <v>69</v>
      </c>
      <c r="D97" s="7" t="n">
        <v>179</v>
      </c>
      <c r="E97" s="1" t="n">
        <v>71</v>
      </c>
      <c r="F97" s="2" t="s">
        <v>87</v>
      </c>
      <c r="H97" s="0" t="s">
        <v>88</v>
      </c>
      <c r="K97" s="0" t="s">
        <v>89</v>
      </c>
      <c r="N97" s="0" t="s">
        <v>90</v>
      </c>
    </row>
    <row r="98" customFormat="false" ht="12.75" hidden="false" customHeight="false" outlineLevel="0" collapsed="false">
      <c r="A98" s="0" t="n">
        <v>30</v>
      </c>
      <c r="B98" s="0" t="n">
        <v>172</v>
      </c>
      <c r="C98" s="0" t="n">
        <v>69</v>
      </c>
      <c r="D98" s="6" t="n">
        <v>180</v>
      </c>
      <c r="E98" s="1" t="n">
        <v>65</v>
      </c>
      <c r="F98" s="2" t="s">
        <v>91</v>
      </c>
      <c r="H98" s="0" t="s">
        <v>1</v>
      </c>
      <c r="I98" s="35" t="n">
        <f aca="false">K77</f>
        <v>52.125</v>
      </c>
      <c r="J98" s="35" t="n">
        <f aca="false">L77</f>
        <v>56.375</v>
      </c>
      <c r="K98" s="35" t="n">
        <f aca="false">M77</f>
        <v>60.625</v>
      </c>
      <c r="L98" s="35" t="n">
        <f aca="false">N77</f>
        <v>64.875</v>
      </c>
      <c r="M98" s="35" t="n">
        <f aca="false">O77</f>
        <v>69.125</v>
      </c>
      <c r="N98" s="35" t="n">
        <f aca="false">P77</f>
        <v>73.375</v>
      </c>
      <c r="O98" s="35" t="n">
        <f aca="false">Q77</f>
        <v>77.625</v>
      </c>
      <c r="P98" s="35" t="n">
        <f aca="false">R77</f>
        <v>81.875</v>
      </c>
    </row>
    <row r="99" customFormat="false" ht="12.75" hidden="false" customHeight="false" outlineLevel="0" collapsed="false">
      <c r="A99" s="0" t="n">
        <v>31</v>
      </c>
      <c r="B99" s="0" t="n">
        <v>171</v>
      </c>
      <c r="C99" s="0" t="n">
        <v>67</v>
      </c>
      <c r="D99" s="6" t="n">
        <v>180</v>
      </c>
      <c r="E99" s="1" t="n">
        <v>69</v>
      </c>
      <c r="F99" s="2" t="s">
        <v>92</v>
      </c>
      <c r="H99" s="0" t="s">
        <v>93</v>
      </c>
      <c r="I99" s="3" t="n">
        <f aca="false">K86</f>
        <v>0.08</v>
      </c>
      <c r="J99" s="3" t="n">
        <f aca="false">L86</f>
        <v>0.11</v>
      </c>
      <c r="K99" s="3" t="n">
        <f aca="false">M86</f>
        <v>0.2</v>
      </c>
      <c r="L99" s="3" t="n">
        <f aca="false">N86</f>
        <v>0.25</v>
      </c>
      <c r="M99" s="3" t="n">
        <f aca="false">O86</f>
        <v>0.19</v>
      </c>
      <c r="N99" s="3" t="n">
        <f aca="false">P86</f>
        <v>0.12</v>
      </c>
      <c r="O99" s="3" t="n">
        <f aca="false">Q86</f>
        <v>0.03</v>
      </c>
      <c r="P99" s="3" t="n">
        <f aca="false">R86</f>
        <v>0.02</v>
      </c>
    </row>
    <row r="100" customFormat="false" ht="12.75" hidden="false" customHeight="false" outlineLevel="0" collapsed="false">
      <c r="A100" s="0" t="n">
        <v>32</v>
      </c>
      <c r="B100" s="0" t="n">
        <v>180</v>
      </c>
      <c r="C100" s="0" t="n">
        <v>69</v>
      </c>
      <c r="D100" s="6" t="n">
        <v>180</v>
      </c>
      <c r="E100" s="1" t="n">
        <v>69</v>
      </c>
      <c r="I100" s="35" t="n">
        <f aca="false">I98*I99</f>
        <v>4.17</v>
      </c>
      <c r="J100" s="35" t="n">
        <f aca="false">J98*J99</f>
        <v>6.20125</v>
      </c>
      <c r="K100" s="35" t="n">
        <f aca="false">K98*K99</f>
        <v>12.125</v>
      </c>
      <c r="L100" s="35" t="n">
        <f aca="false">L98*L99</f>
        <v>16.21875</v>
      </c>
      <c r="M100" s="35" t="n">
        <f aca="false">M98*M99</f>
        <v>13.13375</v>
      </c>
      <c r="N100" s="35" t="n">
        <f aca="false">N98*N99</f>
        <v>8.805</v>
      </c>
      <c r="O100" s="35" t="n">
        <f aca="false">O98*O99</f>
        <v>2.32875</v>
      </c>
      <c r="P100" s="35" t="n">
        <f aca="false">P98*P99</f>
        <v>1.6375</v>
      </c>
      <c r="Q100" s="0" t="n">
        <f aca="false">SUM(I100:P100)</f>
        <v>64.62</v>
      </c>
      <c r="R100" s="0" t="s">
        <v>94</v>
      </c>
    </row>
    <row r="101" customFormat="false" ht="12.75" hidden="false" customHeight="false" outlineLevel="0" collapsed="false">
      <c r="A101" s="0" t="n">
        <v>33</v>
      </c>
      <c r="B101" s="0" t="n">
        <v>166</v>
      </c>
      <c r="C101" s="0" t="n">
        <v>57</v>
      </c>
      <c r="D101" s="0" t="n">
        <v>187</v>
      </c>
      <c r="E101" s="1" t="n">
        <v>84</v>
      </c>
      <c r="F101" s="2" t="s">
        <v>95</v>
      </c>
      <c r="I101" s="35" t="n">
        <f aca="false">I100*I98</f>
        <v>217.36125</v>
      </c>
      <c r="J101" s="35" t="n">
        <f aca="false">J100*J98</f>
        <v>349.59546875</v>
      </c>
      <c r="K101" s="35" t="n">
        <f aca="false">K100*K98</f>
        <v>735.078125</v>
      </c>
      <c r="L101" s="35" t="n">
        <f aca="false">L100*L98</f>
        <v>1052.19140625</v>
      </c>
      <c r="M101" s="35" t="n">
        <f aca="false">M100*M98</f>
        <v>907.87046875</v>
      </c>
      <c r="N101" s="35" t="n">
        <f aca="false">N100*N98</f>
        <v>646.066875</v>
      </c>
      <c r="O101" s="35" t="n">
        <f aca="false">O100*O98</f>
        <v>180.76921875</v>
      </c>
      <c r="P101" s="35" t="n">
        <f aca="false">P100*P98</f>
        <v>134.0703125</v>
      </c>
      <c r="Q101" s="0" t="n">
        <f aca="false">SUM(I101:P101)</f>
        <v>4223.003125</v>
      </c>
      <c r="R101" s="0" t="s">
        <v>96</v>
      </c>
    </row>
    <row r="102" customFormat="false" ht="12.75" hidden="false" customHeight="false" outlineLevel="0" collapsed="false">
      <c r="H102" s="0" t="s">
        <v>97</v>
      </c>
      <c r="K102" s="0" t="n">
        <f aca="false">(S96-R108*Q100)/(R111*S102)</f>
        <v>0.584976091404183</v>
      </c>
      <c r="M102" s="0" t="s">
        <v>98</v>
      </c>
      <c r="N102" s="0" t="n">
        <f aca="false">K102*S102/R111</f>
        <v>0.714658606951571</v>
      </c>
      <c r="Q102" s="0" t="n">
        <f aca="false">-Q100*Q100+Q101</f>
        <v>47.2587249999997</v>
      </c>
      <c r="R102" s="0" t="s">
        <v>99</v>
      </c>
      <c r="S102" s="0" t="n">
        <f aca="false">Q102^0.5</f>
        <v>6.87449816350253</v>
      </c>
      <c r="T102" s="0" t="s">
        <v>100</v>
      </c>
    </row>
    <row r="105" customFormat="false" ht="12.75" hidden="false" customHeight="false" outlineLevel="0" collapsed="false">
      <c r="J105" s="0" t="s">
        <v>101</v>
      </c>
      <c r="M105" s="0" t="s">
        <v>102</v>
      </c>
    </row>
    <row r="106" customFormat="false" ht="12.75" hidden="false" customHeight="false" outlineLevel="0" collapsed="false">
      <c r="I106" s="0" t="s">
        <v>103</v>
      </c>
      <c r="J106" s="45" t="n">
        <f aca="false">J78</f>
        <v>159.8125</v>
      </c>
      <c r="K106" s="45" t="n">
        <f aca="false">J79</f>
        <v>163.4375</v>
      </c>
      <c r="L106" s="45" t="n">
        <f aca="false">J80</f>
        <v>167.0625</v>
      </c>
      <c r="M106" s="45" t="n">
        <f aca="false">J81</f>
        <v>170.6875</v>
      </c>
      <c r="N106" s="45" t="n">
        <f aca="false">J82</f>
        <v>174.3125</v>
      </c>
      <c r="O106" s="45" t="n">
        <f aca="false">J83</f>
        <v>177.9375</v>
      </c>
      <c r="P106" s="45" t="n">
        <f aca="false">J84</f>
        <v>181.5625</v>
      </c>
      <c r="Q106" s="45" t="n">
        <f aca="false">J85</f>
        <v>185.1875</v>
      </c>
      <c r="R106" s="18"/>
    </row>
    <row r="107" customFormat="false" ht="12.75" hidden="false" customHeight="false" outlineLevel="0" collapsed="false">
      <c r="I107" s="0" t="s">
        <v>93</v>
      </c>
      <c r="J107" s="5" t="n">
        <f aca="false">S78</f>
        <v>0.09</v>
      </c>
      <c r="K107" s="5" t="n">
        <f aca="false">S79</f>
        <v>0.22</v>
      </c>
      <c r="L107" s="5" t="n">
        <f aca="false">S80</f>
        <v>0.2</v>
      </c>
      <c r="M107" s="5" t="n">
        <f aca="false">S81</f>
        <v>0.24</v>
      </c>
      <c r="N107" s="5" t="n">
        <f aca="false">S82</f>
        <v>0.16</v>
      </c>
      <c r="O107" s="5" t="n">
        <f aca="false">S83</f>
        <v>0.05</v>
      </c>
      <c r="P107" s="5" t="n">
        <f aca="false">S84</f>
        <v>0.03</v>
      </c>
      <c r="Q107" s="5" t="n">
        <f aca="false">S85</f>
        <v>0.01</v>
      </c>
      <c r="R107" s="18"/>
    </row>
    <row r="108" customFormat="false" ht="12.75" hidden="false" customHeight="false" outlineLevel="0" collapsed="false">
      <c r="J108" s="18" t="n">
        <f aca="false">J106*J107</f>
        <v>14.383125</v>
      </c>
      <c r="K108" s="18" t="n">
        <f aca="false">K106*K107</f>
        <v>35.95625</v>
      </c>
      <c r="L108" s="18" t="n">
        <f aca="false">L106*L107</f>
        <v>33.4125</v>
      </c>
      <c r="M108" s="18" t="n">
        <f aca="false">M106*M107</f>
        <v>40.965</v>
      </c>
      <c r="N108" s="18" t="n">
        <f aca="false">N106*N107</f>
        <v>27.89</v>
      </c>
      <c r="O108" s="18" t="n">
        <f aca="false">O106*O107</f>
        <v>8.896875</v>
      </c>
      <c r="P108" s="18" t="n">
        <f aca="false">P106*P107</f>
        <v>5.446875</v>
      </c>
      <c r="Q108" s="18" t="n">
        <f aca="false">Q106*Q107</f>
        <v>1.851875</v>
      </c>
      <c r="R108" s="5" t="n">
        <f aca="false">SUM(J108:Q108)</f>
        <v>168.8025</v>
      </c>
      <c r="S108" s="0" t="s">
        <v>104</v>
      </c>
    </row>
    <row r="109" customFormat="false" ht="12.75" hidden="false" customHeight="false" outlineLevel="0" collapsed="false">
      <c r="J109" s="18" t="n">
        <f aca="false">J108*J106</f>
        <v>2298.6031640625</v>
      </c>
      <c r="K109" s="18" t="n">
        <f aca="false">K108*K106</f>
        <v>5876.599609375</v>
      </c>
      <c r="L109" s="18" t="n">
        <f aca="false">L108*L106</f>
        <v>5581.97578125</v>
      </c>
      <c r="M109" s="18" t="n">
        <f aca="false">M108*M106</f>
        <v>6992.2134375</v>
      </c>
      <c r="N109" s="18" t="n">
        <f aca="false">N108*N106</f>
        <v>4861.575625</v>
      </c>
      <c r="O109" s="18" t="n">
        <f aca="false">O108*O106</f>
        <v>1583.0876953125</v>
      </c>
      <c r="P109" s="18" t="n">
        <f aca="false">P108*P106</f>
        <v>988.9482421875</v>
      </c>
      <c r="Q109" s="18" t="n">
        <f aca="false">Q108*Q106</f>
        <v>342.9441015625</v>
      </c>
      <c r="R109" s="18" t="n">
        <f aca="false">SUM(J109:Q109)</f>
        <v>28525.94765625</v>
      </c>
      <c r="S109" s="0" t="s">
        <v>105</v>
      </c>
    </row>
    <row r="110" customFormat="false" ht="12.75" hidden="false" customHeight="false" outlineLevel="0" collapsed="false">
      <c r="J110" s="18"/>
      <c r="K110" s="18"/>
      <c r="L110" s="18"/>
      <c r="M110" s="18"/>
      <c r="N110" s="18"/>
      <c r="O110" s="18"/>
      <c r="P110" s="18"/>
      <c r="Q110" s="18"/>
      <c r="R110" s="18" t="n">
        <f aca="false">-R108*R108+R109</f>
        <v>31.6636499999986</v>
      </c>
      <c r="S110" s="0" t="s">
        <v>106</v>
      </c>
    </row>
    <row r="111" customFormat="false" ht="12.75" hidden="false" customHeight="false" outlineLevel="0" collapsed="false">
      <c r="J111" s="18"/>
      <c r="K111" s="18"/>
      <c r="L111" s="18"/>
      <c r="M111" s="18"/>
      <c r="N111" s="18"/>
      <c r="O111" s="18"/>
      <c r="P111" s="18"/>
      <c r="Q111" s="18"/>
      <c r="R111" s="8" t="n">
        <f aca="false">R110^0.5</f>
        <v>5.62704629446023</v>
      </c>
      <c r="S111" s="0" t="s">
        <v>107</v>
      </c>
    </row>
    <row r="118" customFormat="false" ht="12.75" hidden="false" customHeight="false" outlineLevel="0" collapsed="false">
      <c r="J118" s="0" t="s">
        <v>108</v>
      </c>
      <c r="L118" s="1" t="n">
        <f aca="false">8/65</f>
        <v>0.123076923076923</v>
      </c>
      <c r="M118" s="2" t="n">
        <f aca="false">1/13</f>
        <v>0.0769230769230769</v>
      </c>
    </row>
    <row r="119" customFormat="false" ht="12.75" hidden="false" customHeight="false" outlineLevel="0" collapsed="false">
      <c r="I119" s="0" t="s">
        <v>0</v>
      </c>
      <c r="J119" s="0" t="n">
        <v>0</v>
      </c>
      <c r="K119" s="0" t="n">
        <v>1</v>
      </c>
      <c r="L119" s="0" t="n">
        <v>2</v>
      </c>
      <c r="M119" s="0" t="n">
        <v>3</v>
      </c>
    </row>
    <row r="120" customFormat="false" ht="12.75" hidden="false" customHeight="false" outlineLevel="0" collapsed="false">
      <c r="I120" s="0" t="s">
        <v>93</v>
      </c>
      <c r="J120" s="8" t="n">
        <f aca="false">COMBIN(7,0)*COMBIN(8,3)/COMBIN(15,3)</f>
        <v>0.123076923076923</v>
      </c>
      <c r="K120" s="8" t="n">
        <f aca="false">COMBIN(7,1)*COMBIN(8,2)/COMBIN(15,3)</f>
        <v>0.430769230769231</v>
      </c>
      <c r="L120" s="8" t="n">
        <f aca="false">COMBIN(7,2)*COMBIN(8,1)/COMBIN(15,3)</f>
        <v>0.369230769230769</v>
      </c>
      <c r="M120" s="8" t="n">
        <f aca="false">COMBIN(7,3)*COMBIN(8,0)/COMBIN(15,3)</f>
        <v>0.0769230769230769</v>
      </c>
      <c r="O120" s="0" t="n">
        <f aca="false">SUM(J120:N120)</f>
        <v>1</v>
      </c>
    </row>
    <row r="121" customFormat="false" ht="12.75" hidden="false" customHeight="false" outlineLevel="0" collapsed="false">
      <c r="J121" s="8" t="n">
        <f aca="false">J120*J119</f>
        <v>0</v>
      </c>
      <c r="K121" s="8" t="n">
        <f aca="false">K120*K119</f>
        <v>0.430769230769231</v>
      </c>
      <c r="L121" s="8" t="n">
        <f aca="false">L120*L119</f>
        <v>0.738461538461538</v>
      </c>
      <c r="M121" s="8" t="n">
        <f aca="false">M120*M119</f>
        <v>0.230769230769231</v>
      </c>
      <c r="O121" s="0" t="n">
        <f aca="false">SUM(J121:N121)</f>
        <v>1.4</v>
      </c>
      <c r="P121" s="0" t="s">
        <v>109</v>
      </c>
    </row>
    <row r="122" customFormat="false" ht="12.75" hidden="false" customHeight="false" outlineLevel="0" collapsed="false">
      <c r="J122" s="8" t="n">
        <f aca="false">J121*J119</f>
        <v>0</v>
      </c>
      <c r="K122" s="8" t="n">
        <f aca="false">K121*K119</f>
        <v>0.430769230769231</v>
      </c>
      <c r="L122" s="8" t="n">
        <f aca="false">L121*L119</f>
        <v>1.47692307692308</v>
      </c>
      <c r="M122" s="8" t="n">
        <f aca="false">M121*M119</f>
        <v>0.692307692307692</v>
      </c>
      <c r="O122" s="0" t="n">
        <f aca="false">SUM(J122:N122)</f>
        <v>2.6</v>
      </c>
      <c r="P122" s="0" t="s">
        <v>110</v>
      </c>
    </row>
    <row r="123" customFormat="false" ht="12.75" hidden="false" customHeight="false" outlineLevel="0" collapsed="false">
      <c r="L123" s="1"/>
      <c r="M123" s="2"/>
      <c r="O123" s="0" t="n">
        <f aca="false">O122-O121*O121</f>
        <v>0.64</v>
      </c>
      <c r="P123" s="0" t="s">
        <v>111</v>
      </c>
    </row>
    <row r="124" customFormat="false" ht="12.75" hidden="false" customHeight="false" outlineLevel="0" collapsed="false">
      <c r="J124" s="0" t="n">
        <f aca="false">J120*(J119-$O$121)^2</f>
        <v>0.241230769230769</v>
      </c>
      <c r="K124" s="0" t="n">
        <f aca="false">K120*(K119-$O$121)^2</f>
        <v>0.0689230769230769</v>
      </c>
      <c r="L124" s="0" t="n">
        <f aca="false">L120*(L119-$O$121)^2</f>
        <v>0.132923076923077</v>
      </c>
      <c r="M124" s="0" t="n">
        <f aca="false">M120*(M119-$O$121)^2</f>
        <v>0.196923076923077</v>
      </c>
      <c r="O124" s="0" t="n">
        <f aca="false">SUM(J124:N124)</f>
        <v>0.64</v>
      </c>
    </row>
    <row r="125" customFormat="false" ht="12.75" hidden="false" customHeight="false" outlineLevel="0" collapsed="false">
      <c r="I125" s="0" t="s">
        <v>112</v>
      </c>
      <c r="J125" s="8" t="n">
        <f aca="false">J120</f>
        <v>0.123076923076923</v>
      </c>
      <c r="K125" s="8" t="n">
        <f aca="false">J125+K120</f>
        <v>0.553846153846154</v>
      </c>
      <c r="L125" s="8" t="n">
        <f aca="false">K125+L120</f>
        <v>0.923076923076923</v>
      </c>
      <c r="M125" s="8" t="n">
        <f aca="false">L125+M120</f>
        <v>1</v>
      </c>
    </row>
  </sheetData>
  <printOptions headings="false" gridLines="true" gridLinesSet="true" horizontalCentered="false" verticalCentered="false"/>
  <pageMargins left="0.39375" right="0.39375" top="0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40"/>
  <sheetViews>
    <sheetView showFormulas="false" showGridLines="true" showRowColHeaders="true" showZeros="true" rightToLeft="false" tabSelected="true" showOutlineSymbols="true" defaultGridColor="true" view="normal" topLeftCell="A28" colorId="64" zoomScale="90" zoomScaleNormal="90" zoomScalePageLayoutView="100" workbookViewId="0">
      <selection pane="topLeft" activeCell="O58" activeCellId="0" sqref="O58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5.57"/>
    <col collapsed="false" customWidth="true" hidden="false" outlineLevel="0" max="3" min="3" style="0" width="6.85"/>
    <col collapsed="false" customWidth="true" hidden="false" outlineLevel="0" max="4" min="4" style="0" width="7"/>
    <col collapsed="false" customWidth="true" hidden="false" outlineLevel="0" max="5" min="5" style="1" width="7"/>
    <col collapsed="false" customWidth="true" hidden="false" outlineLevel="0" max="6" min="6" style="2" width="6.57"/>
    <col collapsed="false" customWidth="true" hidden="false" outlineLevel="0" max="7" min="7" style="0" width="5.29"/>
    <col collapsed="false" customWidth="true" hidden="false" outlineLevel="0" max="8" min="8" style="0" width="8.15"/>
    <col collapsed="false" customWidth="true" hidden="false" outlineLevel="0" max="9" min="9" style="0" width="7.86"/>
    <col collapsed="false" customWidth="true" hidden="false" outlineLevel="0" max="10" min="10" style="0" width="7.42"/>
    <col collapsed="false" customWidth="true" hidden="false" outlineLevel="0" max="11" min="11" style="0" width="8.86"/>
    <col collapsed="false" customWidth="true" hidden="false" outlineLevel="0" max="12" min="12" style="0" width="9.71"/>
    <col collapsed="false" customWidth="true" hidden="false" outlineLevel="0" max="13" min="13" style="0" width="10.29"/>
    <col collapsed="false" customWidth="true" hidden="false" outlineLevel="0" max="14" min="14" style="0" width="8.86"/>
    <col collapsed="false" customWidth="true" hidden="false" outlineLevel="0" max="15" min="15" style="0" width="13.15"/>
    <col collapsed="false" customWidth="true" hidden="false" outlineLevel="0" max="16" min="16" style="0" width="9"/>
    <col collapsed="false" customWidth="true" hidden="false" outlineLevel="0" max="17" min="17" style="0" width="9.29"/>
    <col collapsed="false" customWidth="true" hidden="false" outlineLevel="0" max="18" min="18" style="0" width="9.86"/>
    <col collapsed="false" customWidth="true" hidden="false" outlineLevel="0" max="19" min="19" style="0" width="10.14"/>
    <col collapsed="false" customWidth="true" hidden="false" outlineLevel="0" max="20" min="20" style="0" width="6.29"/>
    <col collapsed="false" customWidth="true" hidden="false" outlineLevel="0" max="34" min="21" style="0" width="9"/>
    <col collapsed="false" customWidth="true" hidden="false" outlineLevel="0" max="35" min="35" style="0" width="27"/>
    <col collapsed="false" customWidth="true" hidden="false" outlineLevel="0" max="1025" min="36" style="0" width="9"/>
  </cols>
  <sheetData>
    <row r="1" customFormat="false" ht="12.75" hidden="false" customHeight="false" outlineLevel="0" collapsed="false">
      <c r="B1" s="3" t="s">
        <v>0</v>
      </c>
      <c r="C1" s="4" t="s">
        <v>1</v>
      </c>
      <c r="D1" s="3" t="s">
        <v>0</v>
      </c>
      <c r="E1" s="4" t="s">
        <v>1</v>
      </c>
      <c r="G1" s="0" t="s">
        <v>2</v>
      </c>
      <c r="H1" s="5" t="n">
        <f aca="false">MIN(B2:B101)</f>
        <v>156</v>
      </c>
      <c r="I1" s="0" t="s">
        <v>3</v>
      </c>
      <c r="J1" s="5" t="n">
        <f aca="false">MAX(B2:B101)</f>
        <v>180</v>
      </c>
      <c r="L1" s="6" t="s">
        <v>4</v>
      </c>
      <c r="M1" s="6"/>
      <c r="Q1" s="0" t="s">
        <v>5</v>
      </c>
    </row>
    <row r="2" customFormat="false" ht="12.75" hidden="false" customHeight="false" outlineLevel="0" collapsed="false">
      <c r="A2" s="0" t="n">
        <v>1</v>
      </c>
      <c r="B2" s="0" t="n">
        <v>174</v>
      </c>
      <c r="C2" s="0" t="n">
        <v>70</v>
      </c>
      <c r="D2" s="49" t="n">
        <v>158</v>
      </c>
      <c r="E2" s="49" t="n">
        <v>60</v>
      </c>
      <c r="F2" s="2" t="s">
        <v>6</v>
      </c>
      <c r="G2" s="0" t="s">
        <v>7</v>
      </c>
      <c r="H2" s="5" t="n">
        <f aca="false">J1-H1</f>
        <v>24</v>
      </c>
      <c r="I2" s="0" t="s">
        <v>8</v>
      </c>
      <c r="Q2" s="0" t="s">
        <v>9</v>
      </c>
    </row>
    <row r="3" customFormat="false" ht="12.75" hidden="false" customHeight="false" outlineLevel="0" collapsed="false">
      <c r="A3" s="0" t="n">
        <v>2</v>
      </c>
      <c r="B3" s="0" t="n">
        <v>166</v>
      </c>
      <c r="C3" s="0" t="n">
        <v>57</v>
      </c>
      <c r="D3" s="49" t="n">
        <v>159</v>
      </c>
      <c r="E3" s="49" t="n">
        <v>68</v>
      </c>
      <c r="G3" s="0" t="s">
        <v>10</v>
      </c>
      <c r="H3" s="0" t="n">
        <f aca="false">ROUND(1+3.32*LOG10(100),0)</f>
        <v>8</v>
      </c>
      <c r="Q3" s="0" t="s">
        <v>11</v>
      </c>
    </row>
    <row r="4" customFormat="false" ht="12.75" hidden="false" customHeight="false" outlineLevel="0" collapsed="false">
      <c r="A4" s="0" t="n">
        <v>3</v>
      </c>
      <c r="B4" s="0" t="n">
        <v>161</v>
      </c>
      <c r="C4" s="0" t="n">
        <v>55</v>
      </c>
      <c r="D4" s="49" t="n">
        <v>160</v>
      </c>
      <c r="E4" s="49" t="n">
        <v>60</v>
      </c>
      <c r="G4" s="0" t="s">
        <v>12</v>
      </c>
      <c r="H4" s="8" t="n">
        <f aca="false">H2/H3</f>
        <v>3</v>
      </c>
      <c r="Q4" s="0" t="s">
        <v>13</v>
      </c>
    </row>
    <row r="5" customFormat="false" ht="12.75" hidden="false" customHeight="false" outlineLevel="0" collapsed="false">
      <c r="A5" s="0" t="n">
        <v>4</v>
      </c>
      <c r="B5" s="0" t="n">
        <v>172</v>
      </c>
      <c r="C5" s="0" t="n">
        <v>60</v>
      </c>
      <c r="D5" s="49" t="n">
        <v>160</v>
      </c>
      <c r="E5" s="49" t="n">
        <v>50</v>
      </c>
      <c r="J5" s="0" t="s">
        <v>113</v>
      </c>
      <c r="K5" s="0" t="s">
        <v>114</v>
      </c>
      <c r="L5" s="0" t="s">
        <v>115</v>
      </c>
      <c r="M5" s="0" t="s">
        <v>116</v>
      </c>
      <c r="N5" s="0" t="s">
        <v>117</v>
      </c>
      <c r="O5" s="0" t="s">
        <v>14</v>
      </c>
      <c r="Q5" s="0" t="s">
        <v>15</v>
      </c>
    </row>
    <row r="6" customFormat="false" ht="12.75" hidden="false" customHeight="false" outlineLevel="0" collapsed="false">
      <c r="A6" s="0" t="n">
        <v>5</v>
      </c>
      <c r="B6" s="0" t="n">
        <v>166</v>
      </c>
      <c r="C6" s="0" t="n">
        <v>57</v>
      </c>
      <c r="D6" s="49" t="n">
        <v>161</v>
      </c>
      <c r="E6" s="49" t="n">
        <v>56</v>
      </c>
      <c r="G6" s="9"/>
      <c r="H6" s="10" t="s">
        <v>16</v>
      </c>
      <c r="I6" s="10" t="s">
        <v>17</v>
      </c>
      <c r="J6" s="10" t="s">
        <v>18</v>
      </c>
      <c r="K6" s="10" t="s">
        <v>19</v>
      </c>
      <c r="L6" s="10" t="s">
        <v>20</v>
      </c>
      <c r="M6" s="11" t="s">
        <v>21</v>
      </c>
      <c r="N6" s="3" t="s">
        <v>22</v>
      </c>
      <c r="O6" s="11" t="s">
        <v>23</v>
      </c>
      <c r="Q6" s="0" t="s">
        <v>24</v>
      </c>
    </row>
    <row r="7" customFormat="false" ht="12.75" hidden="false" customHeight="false" outlineLevel="0" collapsed="false">
      <c r="A7" s="0" t="n">
        <v>6</v>
      </c>
      <c r="B7" s="0" t="n">
        <v>169</v>
      </c>
      <c r="C7" s="0" t="n">
        <v>62</v>
      </c>
      <c r="D7" s="49" t="n">
        <v>161</v>
      </c>
      <c r="E7" s="49" t="n">
        <v>58</v>
      </c>
      <c r="G7" s="9" t="n">
        <v>1</v>
      </c>
      <c r="H7" s="12" t="n">
        <f aca="false">$H$1</f>
        <v>156</v>
      </c>
      <c r="I7" s="12" t="n">
        <f aca="false">H7+$H$4</f>
        <v>159</v>
      </c>
      <c r="J7" s="3" t="n">
        <f aca="false">COUNTIF($B$2:$B$101,"&lt;=159")</f>
        <v>4</v>
      </c>
      <c r="K7" s="3" t="n">
        <f aca="false">J7</f>
        <v>4</v>
      </c>
      <c r="L7" s="12" t="n">
        <f aca="false">(H7+I7)/2</f>
        <v>157.5</v>
      </c>
      <c r="M7" s="3" t="n">
        <f aca="false">J7/100</f>
        <v>0.04</v>
      </c>
      <c r="N7" s="3" t="n">
        <f aca="false">K7/100</f>
        <v>0.04</v>
      </c>
      <c r="O7" s="13" t="n">
        <f aca="false">M7/$H$4</f>
        <v>0.0133333333333333</v>
      </c>
      <c r="Q7" s="0" t="s">
        <v>25</v>
      </c>
    </row>
    <row r="8" customFormat="false" ht="12.75" hidden="false" customHeight="false" outlineLevel="0" collapsed="false">
      <c r="A8" s="0" t="n">
        <v>7</v>
      </c>
      <c r="B8" s="0" t="n">
        <v>168</v>
      </c>
      <c r="C8" s="0" t="n">
        <v>70</v>
      </c>
      <c r="D8" s="49" t="n">
        <v>161</v>
      </c>
      <c r="E8" s="49" t="n">
        <v>66</v>
      </c>
      <c r="G8" s="9" t="n">
        <v>2</v>
      </c>
      <c r="H8" s="12" t="n">
        <f aca="false">I7</f>
        <v>159</v>
      </c>
      <c r="I8" s="12" t="n">
        <f aca="false">H8+$H$4</f>
        <v>162</v>
      </c>
      <c r="J8" s="14" t="n">
        <f aca="false">COUNTIF($B$2:$B$101,"&lt;=162")-J7</f>
        <v>6</v>
      </c>
      <c r="K8" s="14" t="n">
        <f aca="false">J8+K7</f>
        <v>10</v>
      </c>
      <c r="L8" s="12" t="n">
        <f aca="false">(H8+I8)/2</f>
        <v>160.5</v>
      </c>
      <c r="M8" s="3" t="n">
        <f aca="false">J8/100</f>
        <v>0.06</v>
      </c>
      <c r="N8" s="3" t="n">
        <f aca="false">K8/100</f>
        <v>0.1</v>
      </c>
      <c r="O8" s="13" t="n">
        <f aca="false">M8/$H$4</f>
        <v>0.02</v>
      </c>
      <c r="Q8" s="0" t="s">
        <v>26</v>
      </c>
    </row>
    <row r="9" customFormat="false" ht="12.75" hidden="false" customHeight="false" outlineLevel="0" collapsed="false">
      <c r="A9" s="0" t="n">
        <v>8</v>
      </c>
      <c r="B9" s="0" t="n">
        <v>167</v>
      </c>
      <c r="C9" s="0" t="n">
        <v>65</v>
      </c>
      <c r="D9" s="49" t="n">
        <v>161</v>
      </c>
      <c r="E9" s="49" t="n">
        <v>52</v>
      </c>
      <c r="G9" s="9" t="n">
        <v>3</v>
      </c>
      <c r="H9" s="12" t="n">
        <f aca="false">I8</f>
        <v>162</v>
      </c>
      <c r="I9" s="12" t="n">
        <f aca="false">H9+$H$4</f>
        <v>165</v>
      </c>
      <c r="J9" s="14" t="n">
        <f aca="false">COUNTIF($B$2:$B$101,"&lt;=165")-J8-J7</f>
        <v>14</v>
      </c>
      <c r="K9" s="14" t="n">
        <f aca="false">J9+K8</f>
        <v>24</v>
      </c>
      <c r="L9" s="12" t="n">
        <f aca="false">(H9+I9)/2</f>
        <v>163.5</v>
      </c>
      <c r="M9" s="3" t="n">
        <f aca="false">J9/100</f>
        <v>0.14</v>
      </c>
      <c r="N9" s="3" t="n">
        <f aca="false">K9/100</f>
        <v>0.24</v>
      </c>
      <c r="O9" s="13" t="n">
        <f aca="false">M9/$H$4</f>
        <v>0.0466666666666667</v>
      </c>
      <c r="Q9" s="0" t="s">
        <v>27</v>
      </c>
    </row>
    <row r="10" customFormat="false" ht="12.75" hidden="false" customHeight="false" outlineLevel="0" collapsed="false">
      <c r="A10" s="0" t="n">
        <v>9</v>
      </c>
      <c r="B10" s="0" t="n">
        <v>178</v>
      </c>
      <c r="C10" s="0" t="n">
        <v>80</v>
      </c>
      <c r="D10" s="49" t="n">
        <v>161</v>
      </c>
      <c r="E10" s="49" t="n">
        <v>52</v>
      </c>
      <c r="G10" s="9" t="n">
        <v>4</v>
      </c>
      <c r="H10" s="12" t="n">
        <f aca="false">I9</f>
        <v>165</v>
      </c>
      <c r="I10" s="12" t="n">
        <f aca="false">H10+$H$4</f>
        <v>168</v>
      </c>
      <c r="J10" s="14" t="n">
        <f aca="false">COUNTIF($B$2:$B$101,"&lt;=168")-J9-J8-J7</f>
        <v>24</v>
      </c>
      <c r="K10" s="14" t="n">
        <f aca="false">J10+K9</f>
        <v>48</v>
      </c>
      <c r="L10" s="12" t="n">
        <f aca="false">(H10+I10)/2</f>
        <v>166.5</v>
      </c>
      <c r="M10" s="3" t="n">
        <f aca="false">J10/100</f>
        <v>0.24</v>
      </c>
      <c r="N10" s="3" t="n">
        <f aca="false">K10/100</f>
        <v>0.48</v>
      </c>
      <c r="O10" s="13" t="n">
        <f aca="false">M10/$H$4</f>
        <v>0.08</v>
      </c>
      <c r="Q10" s="0" t="s">
        <v>28</v>
      </c>
    </row>
    <row r="11" customFormat="false" ht="12.75" hidden="false" customHeight="false" outlineLevel="0" collapsed="false">
      <c r="A11" s="0" t="n">
        <v>10</v>
      </c>
      <c r="B11" s="0" t="n">
        <v>165</v>
      </c>
      <c r="C11" s="0" t="n">
        <v>68</v>
      </c>
      <c r="D11" s="50" t="n">
        <v>162</v>
      </c>
      <c r="E11" s="50" t="n">
        <v>53</v>
      </c>
      <c r="F11" s="2" t="s">
        <v>29</v>
      </c>
      <c r="G11" s="9" t="n">
        <v>5</v>
      </c>
      <c r="H11" s="12" t="n">
        <f aca="false">I10</f>
        <v>168</v>
      </c>
      <c r="I11" s="12" t="n">
        <f aca="false">H11+$H$4</f>
        <v>171</v>
      </c>
      <c r="J11" s="14" t="n">
        <f aca="false">COUNTIF($B$2:$B$101,"&lt;=171")-J10-J9-J8-J7</f>
        <v>19</v>
      </c>
      <c r="K11" s="14" t="n">
        <f aca="false">J11+K10</f>
        <v>67</v>
      </c>
      <c r="L11" s="12" t="n">
        <f aca="false">(H11+I11)/2</f>
        <v>169.5</v>
      </c>
      <c r="M11" s="3" t="n">
        <f aca="false">J11/100</f>
        <v>0.19</v>
      </c>
      <c r="N11" s="3" t="n">
        <f aca="false">K11/100</f>
        <v>0.67</v>
      </c>
      <c r="O11" s="13" t="n">
        <f aca="false">M11/$H$4</f>
        <v>0.0633333333333333</v>
      </c>
      <c r="Q11" s="0" t="s">
        <v>30</v>
      </c>
    </row>
    <row r="12" customFormat="false" ht="12.75" hidden="false" customHeight="false" outlineLevel="0" collapsed="false">
      <c r="A12" s="0" t="n">
        <v>11</v>
      </c>
      <c r="B12" s="0" t="n">
        <v>175</v>
      </c>
      <c r="C12" s="0" t="n">
        <v>64</v>
      </c>
      <c r="D12" s="50" t="n">
        <v>162</v>
      </c>
      <c r="E12" s="50" t="n">
        <v>61</v>
      </c>
      <c r="G12" s="9" t="n">
        <v>6</v>
      </c>
      <c r="H12" s="12" t="n">
        <f aca="false">I11</f>
        <v>171</v>
      </c>
      <c r="I12" s="12" t="n">
        <f aca="false">H12+$H$4</f>
        <v>174</v>
      </c>
      <c r="J12" s="14" t="n">
        <f aca="false">COUNTIF($B$2:$B$101,"&lt;=174")-SUM(J7:J11)</f>
        <v>20</v>
      </c>
      <c r="K12" s="14" t="n">
        <f aca="false">J12+K11</f>
        <v>87</v>
      </c>
      <c r="L12" s="12" t="n">
        <f aca="false">(H12+I12)/2</f>
        <v>172.5</v>
      </c>
      <c r="M12" s="3" t="n">
        <f aca="false">J12/100</f>
        <v>0.2</v>
      </c>
      <c r="N12" s="3" t="n">
        <f aca="false">K12/100</f>
        <v>0.87</v>
      </c>
      <c r="O12" s="13" t="n">
        <f aca="false">M12/$H$4</f>
        <v>0.0666666666666667</v>
      </c>
      <c r="Q12" s="0" t="s">
        <v>31</v>
      </c>
    </row>
    <row r="13" customFormat="false" ht="12.75" hidden="false" customHeight="false" outlineLevel="0" collapsed="false">
      <c r="A13" s="0" t="n">
        <v>12</v>
      </c>
      <c r="B13" s="0" t="n">
        <v>165</v>
      </c>
      <c r="C13" s="0" t="n">
        <v>55</v>
      </c>
      <c r="D13" s="50" t="n">
        <v>162</v>
      </c>
      <c r="E13" s="50" t="n">
        <v>56</v>
      </c>
      <c r="G13" s="9" t="n">
        <v>7</v>
      </c>
      <c r="H13" s="12" t="n">
        <f aca="false">I12</f>
        <v>174</v>
      </c>
      <c r="I13" s="12" t="n">
        <f aca="false">H13+$H$4</f>
        <v>177</v>
      </c>
      <c r="J13" s="14" t="n">
        <f aca="false">COUNTIF($B$2:$B$101,"&lt;=177")-SUM(J7:J12)</f>
        <v>8</v>
      </c>
      <c r="K13" s="14" t="n">
        <f aca="false">J13+K12</f>
        <v>95</v>
      </c>
      <c r="L13" s="12" t="n">
        <f aca="false">(H13+I13)/2</f>
        <v>175.5</v>
      </c>
      <c r="M13" s="3" t="n">
        <f aca="false">J13/100</f>
        <v>0.08</v>
      </c>
      <c r="N13" s="3" t="n">
        <f aca="false">K13/100</f>
        <v>0.95</v>
      </c>
      <c r="O13" s="13" t="n">
        <f aca="false">M13/$H$4</f>
        <v>0.0266666666666667</v>
      </c>
    </row>
    <row r="14" customFormat="false" ht="12.75" hidden="false" customHeight="false" outlineLevel="0" collapsed="false">
      <c r="A14" s="0" t="n">
        <v>13</v>
      </c>
      <c r="B14" s="0" t="n">
        <v>172</v>
      </c>
      <c r="C14" s="0" t="n">
        <v>78</v>
      </c>
      <c r="D14" s="50" t="n">
        <v>162</v>
      </c>
      <c r="E14" s="50" t="n">
        <v>53</v>
      </c>
      <c r="G14" s="9" t="n">
        <v>8</v>
      </c>
      <c r="H14" s="12" t="n">
        <f aca="false">I13</f>
        <v>177</v>
      </c>
      <c r="I14" s="12" t="n">
        <f aca="false">H14+$H$4</f>
        <v>180</v>
      </c>
      <c r="J14" s="14" t="n">
        <f aca="false">COUNTIF($B$2:$B$101,"&lt;=180")-SUM(J7:J13)</f>
        <v>5</v>
      </c>
      <c r="K14" s="14" t="n">
        <f aca="false">J14+K13</f>
        <v>100</v>
      </c>
      <c r="L14" s="12" t="n">
        <f aca="false">(H14+I14)/2</f>
        <v>178.5</v>
      </c>
      <c r="M14" s="3" t="n">
        <f aca="false">J14/100</f>
        <v>0.05</v>
      </c>
      <c r="N14" s="3" t="n">
        <f aca="false">K14/100</f>
        <v>1</v>
      </c>
      <c r="O14" s="13" t="n">
        <f aca="false">M14/$H$4</f>
        <v>0.0166666666666667</v>
      </c>
    </row>
    <row r="15" customFormat="false" ht="12.75" hidden="false" customHeight="false" outlineLevel="0" collapsed="false">
      <c r="A15" s="0" t="n">
        <v>14</v>
      </c>
      <c r="B15" s="0" t="n">
        <v>173</v>
      </c>
      <c r="C15" s="0" t="n">
        <v>65</v>
      </c>
      <c r="D15" s="50" t="n">
        <v>163</v>
      </c>
      <c r="E15" s="50" t="n">
        <v>64</v>
      </c>
      <c r="G15" s="9"/>
      <c r="H15" s="12"/>
      <c r="I15" s="12"/>
      <c r="J15" s="3" t="n">
        <f aca="false">SUM(J7:J14)</f>
        <v>100</v>
      </c>
      <c r="K15" s="10" t="s">
        <v>32</v>
      </c>
      <c r="L15" s="10" t="s">
        <v>32</v>
      </c>
      <c r="M15" s="3" t="n">
        <f aca="false">SUM(M7:M14)</f>
        <v>1</v>
      </c>
      <c r="N15" s="3"/>
      <c r="O15" s="3"/>
    </row>
    <row r="16" customFormat="false" ht="12.75" hidden="false" customHeight="false" outlineLevel="0" collapsed="false">
      <c r="A16" s="0" t="n">
        <v>15</v>
      </c>
      <c r="B16" s="0" t="n">
        <v>167</v>
      </c>
      <c r="C16" s="0" t="n">
        <v>63</v>
      </c>
      <c r="D16" s="50" t="n">
        <v>163</v>
      </c>
      <c r="E16" s="50" t="n">
        <v>63</v>
      </c>
    </row>
    <row r="17" customFormat="false" ht="12.75" hidden="false" customHeight="false" outlineLevel="0" collapsed="false">
      <c r="A17" s="0" t="n">
        <v>16</v>
      </c>
      <c r="B17" s="0" t="n">
        <v>163</v>
      </c>
      <c r="C17" s="0" t="n">
        <v>67</v>
      </c>
      <c r="D17" s="50" t="n">
        <v>163</v>
      </c>
      <c r="E17" s="50" t="n">
        <v>72</v>
      </c>
      <c r="G17" s="0" t="s">
        <v>33</v>
      </c>
      <c r="H17" s="5" t="n">
        <f aca="false">$K$27</f>
        <v>168.45</v>
      </c>
      <c r="I17" s="5"/>
    </row>
    <row r="18" customFormat="false" ht="16.75" hidden="false" customHeight="false" outlineLevel="0" collapsed="false">
      <c r="A18" s="0" t="n">
        <v>17</v>
      </c>
      <c r="B18" s="0" t="n">
        <v>173</v>
      </c>
      <c r="C18" s="0" t="n">
        <v>71</v>
      </c>
      <c r="D18" s="50" t="n">
        <v>164</v>
      </c>
      <c r="E18" s="50" t="n">
        <v>61</v>
      </c>
      <c r="H18" s="10" t="s">
        <v>20</v>
      </c>
      <c r="I18" s="11" t="s">
        <v>34</v>
      </c>
      <c r="J18" s="16" t="s">
        <v>35</v>
      </c>
      <c r="K18" s="10" t="s">
        <v>36</v>
      </c>
      <c r="L18" s="17" t="s">
        <v>37</v>
      </c>
      <c r="M18" s="17" t="s">
        <v>38</v>
      </c>
      <c r="N18" s="17" t="s">
        <v>39</v>
      </c>
      <c r="O18" s="17" t="s">
        <v>40</v>
      </c>
    </row>
    <row r="19" customFormat="false" ht="12.75" hidden="false" customHeight="false" outlineLevel="0" collapsed="false">
      <c r="A19" s="0" t="n">
        <v>18</v>
      </c>
      <c r="B19" s="0" t="n">
        <v>164</v>
      </c>
      <c r="C19" s="0" t="n">
        <v>68</v>
      </c>
      <c r="D19" s="50" t="n">
        <v>164</v>
      </c>
      <c r="E19" s="50" t="n">
        <v>59</v>
      </c>
      <c r="G19" s="9" t="n">
        <v>1</v>
      </c>
      <c r="H19" s="12" t="n">
        <f aca="false">L7</f>
        <v>157.5</v>
      </c>
      <c r="I19" s="3" t="n">
        <f aca="false">M7</f>
        <v>0.04</v>
      </c>
      <c r="J19" s="5" t="n">
        <f aca="false">H19-$K$27</f>
        <v>-10.95</v>
      </c>
      <c r="K19" s="5" t="n">
        <f aca="false">H19*I19</f>
        <v>6.3</v>
      </c>
      <c r="L19" s="5" t="n">
        <f aca="false">I19*J19</f>
        <v>-0.438000000000001</v>
      </c>
      <c r="M19" s="5" t="n">
        <f aca="false">L19*J19</f>
        <v>4.79610000000002</v>
      </c>
      <c r="N19" s="18" t="n">
        <f aca="false">M19*J19</f>
        <v>-52.5172950000002</v>
      </c>
      <c r="O19" s="19" t="n">
        <f aca="false">N19*J19</f>
        <v>575.064380250004</v>
      </c>
    </row>
    <row r="20" customFormat="false" ht="12.75" hidden="false" customHeight="false" outlineLevel="0" collapsed="false">
      <c r="A20" s="0" t="n">
        <v>19</v>
      </c>
      <c r="B20" s="0" t="n">
        <v>170</v>
      </c>
      <c r="C20" s="0" t="n">
        <v>68</v>
      </c>
      <c r="D20" s="50" t="n">
        <v>164</v>
      </c>
      <c r="E20" s="50" t="n">
        <v>59</v>
      </c>
      <c r="G20" s="9" t="n">
        <v>2</v>
      </c>
      <c r="H20" s="12" t="n">
        <f aca="false">L8</f>
        <v>160.5</v>
      </c>
      <c r="I20" s="3" t="n">
        <f aca="false">M8</f>
        <v>0.06</v>
      </c>
      <c r="J20" s="5" t="n">
        <f aca="false">H20-$K$27</f>
        <v>-7.95000000000002</v>
      </c>
      <c r="K20" s="5" t="n">
        <f aca="false">H20*I20</f>
        <v>9.63</v>
      </c>
      <c r="L20" s="5" t="n">
        <f aca="false">I20*J20</f>
        <v>-0.477000000000001</v>
      </c>
      <c r="M20" s="5" t="n">
        <f aca="false">L20*J20</f>
        <v>3.79215000000002</v>
      </c>
      <c r="N20" s="18" t="n">
        <f aca="false">M20*J20</f>
        <v>-30.1475925000002</v>
      </c>
      <c r="O20" s="19" t="n">
        <f aca="false">N20*J20</f>
        <v>239.673360375002</v>
      </c>
    </row>
    <row r="21" customFormat="false" ht="12.75" hidden="false" customHeight="false" outlineLevel="0" collapsed="false">
      <c r="A21" s="0" t="n">
        <v>20</v>
      </c>
      <c r="B21" s="0" t="n">
        <v>164</v>
      </c>
      <c r="C21" s="0" t="n">
        <v>60</v>
      </c>
      <c r="D21" s="50" t="n">
        <v>164</v>
      </c>
      <c r="E21" s="50" t="n">
        <v>60</v>
      </c>
      <c r="G21" s="9" t="n">
        <v>3</v>
      </c>
      <c r="H21" s="12" t="n">
        <f aca="false">L9</f>
        <v>163.5</v>
      </c>
      <c r="I21" s="3" t="n">
        <f aca="false">M9</f>
        <v>0.14</v>
      </c>
      <c r="J21" s="5" t="n">
        <f aca="false">H21-$K$27</f>
        <v>-4.95000000000002</v>
      </c>
      <c r="K21" s="5" t="n">
        <f aca="false">H21*I21</f>
        <v>22.89</v>
      </c>
      <c r="L21" s="5" t="n">
        <f aca="false">I21*J21</f>
        <v>-0.693000000000003</v>
      </c>
      <c r="M21" s="5" t="n">
        <f aca="false">L21*J21</f>
        <v>3.43035000000002</v>
      </c>
      <c r="N21" s="18" t="n">
        <f aca="false">M21*J21</f>
        <v>-16.9802325000002</v>
      </c>
      <c r="O21" s="19" t="n">
        <f aca="false">N21*J21</f>
        <v>84.0521508750012</v>
      </c>
    </row>
    <row r="22" customFormat="false" ht="12.75" hidden="false" customHeight="false" outlineLevel="0" collapsed="false">
      <c r="A22" s="0" t="n">
        <v>21</v>
      </c>
      <c r="B22" s="0" t="n">
        <v>170</v>
      </c>
      <c r="C22" s="0" t="n">
        <v>63</v>
      </c>
      <c r="D22" s="50" t="n">
        <v>164</v>
      </c>
      <c r="E22" s="50" t="n">
        <v>61</v>
      </c>
      <c r="G22" s="9" t="n">
        <v>4</v>
      </c>
      <c r="H22" s="12" t="n">
        <f aca="false">L10</f>
        <v>166.5</v>
      </c>
      <c r="I22" s="3" t="n">
        <f aca="false">M10</f>
        <v>0.24</v>
      </c>
      <c r="J22" s="5" t="n">
        <f aca="false">H22-$K$27</f>
        <v>-1.95000000000002</v>
      </c>
      <c r="K22" s="5" t="n">
        <f aca="false">H22*I22</f>
        <v>39.96</v>
      </c>
      <c r="L22" s="5" t="n">
        <f aca="false">I22*J22</f>
        <v>-0.468000000000004</v>
      </c>
      <c r="M22" s="5" t="n">
        <f aca="false">L22*J22</f>
        <v>0.912600000000016</v>
      </c>
      <c r="N22" s="18" t="n">
        <f aca="false">M22*J22</f>
        <v>-1.77957000000005</v>
      </c>
      <c r="O22" s="19" t="n">
        <f aca="false">N22*J22</f>
        <v>3.47016150000012</v>
      </c>
    </row>
    <row r="23" customFormat="false" ht="12.75" hidden="false" customHeight="false" outlineLevel="0" collapsed="false">
      <c r="A23" s="0" t="n">
        <v>22</v>
      </c>
      <c r="B23" s="0" t="n">
        <v>180</v>
      </c>
      <c r="C23" s="0" t="n">
        <v>73</v>
      </c>
      <c r="D23" s="50" t="n">
        <v>164</v>
      </c>
      <c r="E23" s="50" t="n">
        <v>61</v>
      </c>
      <c r="F23" s="2" t="s">
        <v>41</v>
      </c>
      <c r="G23" s="9" t="n">
        <v>5</v>
      </c>
      <c r="H23" s="12" t="n">
        <f aca="false">L11</f>
        <v>169.5</v>
      </c>
      <c r="I23" s="3" t="n">
        <f aca="false">M11</f>
        <v>0.19</v>
      </c>
      <c r="J23" s="5" t="n">
        <f aca="false">H23-$K$27</f>
        <v>1.04999999999998</v>
      </c>
      <c r="K23" s="5" t="n">
        <f aca="false">H23*I23</f>
        <v>32.205</v>
      </c>
      <c r="L23" s="5" t="n">
        <f aca="false">I23*J23</f>
        <v>0.199499999999997</v>
      </c>
      <c r="M23" s="5" t="n">
        <f aca="false">L23*J23</f>
        <v>0.209474999999993</v>
      </c>
      <c r="N23" s="18" t="n">
        <f aca="false">M23*J23</f>
        <v>0.219948749999989</v>
      </c>
      <c r="O23" s="19" t="n">
        <f aca="false">N23*J23</f>
        <v>0.230946187499985</v>
      </c>
    </row>
    <row r="24" customFormat="false" ht="12.75" hidden="false" customHeight="false" outlineLevel="0" collapsed="false">
      <c r="A24" s="0" t="n">
        <v>23</v>
      </c>
      <c r="B24" s="0" t="n">
        <v>176</v>
      </c>
      <c r="C24" s="0" t="n">
        <v>81</v>
      </c>
      <c r="D24" s="50" t="n">
        <v>164</v>
      </c>
      <c r="E24" s="50" t="n">
        <v>62</v>
      </c>
      <c r="G24" s="9" t="n">
        <v>6</v>
      </c>
      <c r="H24" s="12" t="n">
        <f aca="false">L12</f>
        <v>172.5</v>
      </c>
      <c r="I24" s="3" t="n">
        <f aca="false">M12</f>
        <v>0.2</v>
      </c>
      <c r="J24" s="5" t="n">
        <f aca="false">H24-$K$27</f>
        <v>4.04999999999998</v>
      </c>
      <c r="K24" s="5" t="n">
        <f aca="false">H24*I24</f>
        <v>34.5</v>
      </c>
      <c r="L24" s="5" t="n">
        <f aca="false">I24*J24</f>
        <v>0.809999999999997</v>
      </c>
      <c r="M24" s="5" t="n">
        <f aca="false">L24*J24</f>
        <v>3.28049999999997</v>
      </c>
      <c r="N24" s="18" t="n">
        <f aca="false">M24*J24</f>
        <v>13.2860249999998</v>
      </c>
      <c r="O24" s="19" t="n">
        <f aca="false">N24*J24</f>
        <v>53.8084012499991</v>
      </c>
    </row>
    <row r="25" customFormat="false" ht="12.75" hidden="false" customHeight="false" outlineLevel="0" collapsed="false">
      <c r="A25" s="0" t="n">
        <v>24</v>
      </c>
      <c r="B25" s="0" t="n">
        <v>173</v>
      </c>
      <c r="C25" s="0" t="n">
        <v>74</v>
      </c>
      <c r="D25" s="50" t="n">
        <v>164</v>
      </c>
      <c r="E25" s="50" t="n">
        <v>57</v>
      </c>
      <c r="G25" s="9" t="n">
        <v>7</v>
      </c>
      <c r="H25" s="12" t="n">
        <f aca="false">L13</f>
        <v>175.5</v>
      </c>
      <c r="I25" s="3" t="n">
        <f aca="false">M13</f>
        <v>0.08</v>
      </c>
      <c r="J25" s="5" t="n">
        <f aca="false">H25-$K$27</f>
        <v>7.04999999999998</v>
      </c>
      <c r="K25" s="5" t="n">
        <f aca="false">H25*I25</f>
        <v>14.04</v>
      </c>
      <c r="L25" s="5" t="n">
        <f aca="false">I25*J25</f>
        <v>0.563999999999999</v>
      </c>
      <c r="M25" s="5" t="n">
        <f aca="false">L25*J25</f>
        <v>3.97619999999998</v>
      </c>
      <c r="N25" s="18" t="n">
        <f aca="false">M25*J25</f>
        <v>28.0322099999998</v>
      </c>
      <c r="O25" s="19" t="n">
        <f aca="false">N25*J25</f>
        <v>197.627080499998</v>
      </c>
    </row>
    <row r="26" customFormat="false" ht="12.75" hidden="false" customHeight="false" outlineLevel="0" collapsed="false">
      <c r="A26" s="0" t="n">
        <v>25</v>
      </c>
      <c r="B26" s="0" t="n">
        <v>168</v>
      </c>
      <c r="C26" s="0" t="n">
        <v>66</v>
      </c>
      <c r="D26" s="50" t="n">
        <v>165</v>
      </c>
      <c r="E26" s="50" t="n">
        <v>59</v>
      </c>
      <c r="G26" s="9" t="n">
        <v>8</v>
      </c>
      <c r="H26" s="12" t="n">
        <f aca="false">L14</f>
        <v>178.5</v>
      </c>
      <c r="I26" s="3" t="n">
        <f aca="false">M14</f>
        <v>0.05</v>
      </c>
      <c r="J26" s="5" t="n">
        <f aca="false">H26-$K$27</f>
        <v>10.05</v>
      </c>
      <c r="K26" s="5" t="n">
        <f aca="false">H26*I26</f>
        <v>8.925</v>
      </c>
      <c r="L26" s="5" t="n">
        <f aca="false">I26*J26</f>
        <v>0.502499999999999</v>
      </c>
      <c r="M26" s="5" t="n">
        <f aca="false">L26*J26</f>
        <v>5.05012499999998</v>
      </c>
      <c r="N26" s="18" t="n">
        <f aca="false">M26*J26</f>
        <v>50.7537562499997</v>
      </c>
      <c r="O26" s="19" t="n">
        <f aca="false">N26*J26</f>
        <v>510.075250312497</v>
      </c>
    </row>
    <row r="27" customFormat="false" ht="12.75" hidden="false" customHeight="false" outlineLevel="0" collapsed="false">
      <c r="A27" s="0" t="n">
        <v>26</v>
      </c>
      <c r="B27" s="0" t="n">
        <v>161</v>
      </c>
      <c r="C27" s="0" t="n">
        <v>55</v>
      </c>
      <c r="D27" s="50" t="n">
        <v>165</v>
      </c>
      <c r="E27" s="50" t="n">
        <v>57</v>
      </c>
      <c r="J27" s="0" t="s">
        <v>33</v>
      </c>
      <c r="K27" s="51" t="n">
        <f aca="false">SUM(K19:K26)</f>
        <v>168.45</v>
      </c>
      <c r="L27" s="20" t="n">
        <f aca="false">SUM(L19:L26)</f>
        <v>-1.70974345792274E-014</v>
      </c>
      <c r="M27" s="20" t="n">
        <f aca="false">SUM(M19:M26)</f>
        <v>25.4475</v>
      </c>
      <c r="N27" s="20" t="n">
        <f aca="false">SUM(N19:N26)</f>
        <v>-9.13275000000131</v>
      </c>
      <c r="O27" s="21" t="n">
        <f aca="false">SUM(O19:O26)</f>
        <v>1664.00173125</v>
      </c>
    </row>
    <row r="28" customFormat="false" ht="12.75" hidden="false" customHeight="false" outlineLevel="0" collapsed="false">
      <c r="A28" s="0" t="n">
        <v>27</v>
      </c>
      <c r="B28" s="0" t="n">
        <v>164</v>
      </c>
      <c r="C28" s="0" t="n">
        <v>62</v>
      </c>
      <c r="D28" s="50" t="n">
        <v>165</v>
      </c>
      <c r="E28" s="50" t="n">
        <v>68</v>
      </c>
      <c r="G28" s="16" t="s">
        <v>42</v>
      </c>
      <c r="H28" s="52" t="n">
        <f aca="false">M27</f>
        <v>25.4475</v>
      </c>
      <c r="I28" s="16" t="s">
        <v>43</v>
      </c>
      <c r="J28" s="5" t="n">
        <f aca="false">N27</f>
        <v>-9.13275000000131</v>
      </c>
      <c r="K28" s="16" t="s">
        <v>44</v>
      </c>
      <c r="L28" s="19" t="n">
        <f aca="false">O27</f>
        <v>1664.00173125</v>
      </c>
      <c r="M28" s="0" t="s">
        <v>106</v>
      </c>
    </row>
    <row r="29" customFormat="false" ht="12.75" hidden="false" customHeight="false" outlineLevel="0" collapsed="false">
      <c r="A29" s="0" t="n">
        <v>28</v>
      </c>
      <c r="B29" s="0" t="n">
        <v>167</v>
      </c>
      <c r="C29" s="0" t="n">
        <v>61</v>
      </c>
      <c r="D29" s="50" t="n">
        <v>165</v>
      </c>
      <c r="E29" s="50" t="n">
        <v>63</v>
      </c>
      <c r="G29" s="0" t="s">
        <v>45</v>
      </c>
      <c r="H29" s="8" t="n">
        <f aca="false">H28</f>
        <v>25.4475</v>
      </c>
      <c r="I29" s="0" t="s">
        <v>46</v>
      </c>
    </row>
    <row r="30" customFormat="false" ht="12.75" hidden="false" customHeight="false" outlineLevel="0" collapsed="false">
      <c r="A30" s="0" t="n">
        <v>29</v>
      </c>
      <c r="B30" s="0" t="n">
        <v>176</v>
      </c>
      <c r="C30" s="0" t="n">
        <v>77</v>
      </c>
      <c r="D30" s="50" t="n">
        <v>165</v>
      </c>
      <c r="E30" s="50" t="n">
        <v>68</v>
      </c>
      <c r="G30" s="0" t="s">
        <v>47</v>
      </c>
      <c r="H30" s="52" t="n">
        <f aca="false">SQRT(H29)</f>
        <v>5.04455151624007</v>
      </c>
      <c r="I30" s="0" t="s">
        <v>48</v>
      </c>
      <c r="K30" s="0" t="n">
        <f aca="false">100/99*H29</f>
        <v>25.7045454545455</v>
      </c>
      <c r="L30" s="0" t="s">
        <v>49</v>
      </c>
      <c r="M30" s="8" t="n">
        <f aca="false">K30^0.5</f>
        <v>5.06996503484447</v>
      </c>
    </row>
    <row r="31" customFormat="false" ht="12.75" hidden="false" customHeight="false" outlineLevel="0" collapsed="false">
      <c r="A31" s="0" t="n">
        <v>30</v>
      </c>
      <c r="B31" s="0" t="n">
        <v>165</v>
      </c>
      <c r="C31" s="0" t="n">
        <v>55</v>
      </c>
      <c r="D31" s="50" t="n">
        <v>165</v>
      </c>
      <c r="E31" s="50" t="n">
        <v>63</v>
      </c>
      <c r="G31" s="0" t="s">
        <v>50</v>
      </c>
      <c r="H31" s="8" t="n">
        <f aca="false">J28/(H30^3)</f>
        <v>-0.0711432801289157</v>
      </c>
      <c r="K31" s="0" t="s">
        <v>51</v>
      </c>
      <c r="L31" s="0" t="s">
        <v>118</v>
      </c>
    </row>
    <row r="32" customFormat="false" ht="12.75" hidden="false" customHeight="false" outlineLevel="0" collapsed="false">
      <c r="A32" s="0" t="n">
        <v>31</v>
      </c>
      <c r="B32" s="0" t="n">
        <v>166</v>
      </c>
      <c r="C32" s="0" t="n">
        <v>61</v>
      </c>
      <c r="D32" s="50" t="n">
        <v>165</v>
      </c>
      <c r="E32" s="50" t="n">
        <v>64</v>
      </c>
      <c r="G32" s="0" t="s">
        <v>52</v>
      </c>
      <c r="H32" s="8" t="n">
        <f aca="false">L28/(H30^4)-3</f>
        <v>-0.430411808990424</v>
      </c>
      <c r="J32" s="0" t="s">
        <v>14</v>
      </c>
      <c r="K32" s="0" t="s">
        <v>53</v>
      </c>
      <c r="L32" s="0" t="e">
        <f aca="false">M30*L31/10</f>
        <v>#VALUE!</v>
      </c>
      <c r="M32" s="0" t="n">
        <f aca="false">_xlfn.CONFIDENCE.NORM(0.05,5.655,100)</f>
        <v>1.1083596332574</v>
      </c>
    </row>
    <row r="33" customFormat="false" ht="12.75" hidden="false" customHeight="false" outlineLevel="0" collapsed="false">
      <c r="A33" s="0" t="n">
        <v>32</v>
      </c>
      <c r="B33" s="0" t="n">
        <v>175</v>
      </c>
      <c r="C33" s="0" t="n">
        <v>66</v>
      </c>
      <c r="D33" s="0" t="n">
        <v>166</v>
      </c>
      <c r="E33" s="1" t="n">
        <v>60</v>
      </c>
      <c r="F33" s="2" t="s">
        <v>54</v>
      </c>
      <c r="I33" s="0" t="s">
        <v>55</v>
      </c>
      <c r="L33" s="5" t="e">
        <f aca="false">K27-L32</f>
        <v>#VALUE!</v>
      </c>
      <c r="M33" s="0" t="s">
        <v>56</v>
      </c>
      <c r="N33" s="5" t="e">
        <f aca="false">H17+L32</f>
        <v>#VALUE!</v>
      </c>
    </row>
    <row r="34" customFormat="false" ht="12.75" hidden="false" customHeight="false" outlineLevel="0" collapsed="false">
      <c r="A34" s="0" t="n">
        <v>33</v>
      </c>
      <c r="B34" s="0" t="n">
        <v>164</v>
      </c>
      <c r="C34" s="0" t="n">
        <v>57</v>
      </c>
      <c r="D34" s="0" t="n">
        <v>166</v>
      </c>
      <c r="E34" s="1" t="n">
        <v>55</v>
      </c>
      <c r="H34" s="0" t="s">
        <v>57</v>
      </c>
      <c r="J34" s="0" t="n">
        <v>0.143</v>
      </c>
      <c r="K34" s="0" t="s">
        <v>58</v>
      </c>
    </row>
    <row r="35" customFormat="false" ht="12.75" hidden="false" customHeight="false" outlineLevel="0" collapsed="false">
      <c r="A35" s="0" t="n">
        <v>34</v>
      </c>
      <c r="B35" s="0" t="n">
        <v>171</v>
      </c>
      <c r="C35" s="0" t="n">
        <v>65</v>
      </c>
      <c r="D35" s="0" t="n">
        <v>166</v>
      </c>
      <c r="E35" s="1" t="n">
        <v>67</v>
      </c>
      <c r="J35" s="5" t="n">
        <f aca="false">M30*(1-0.143)</f>
        <v>4.34496003486171</v>
      </c>
      <c r="K35" s="0" t="s">
        <v>59</v>
      </c>
      <c r="L35" s="5" t="n">
        <f aca="false">M30*(1+0.143)</f>
        <v>5.79497003482723</v>
      </c>
    </row>
    <row r="36" customFormat="false" ht="12.75" hidden="false" customHeight="false" outlineLevel="0" collapsed="false">
      <c r="A36" s="0" t="n">
        <v>1</v>
      </c>
      <c r="B36" s="0" t="n">
        <v>174</v>
      </c>
      <c r="C36" s="0" t="n">
        <v>79</v>
      </c>
      <c r="D36" s="0" t="n">
        <v>166</v>
      </c>
      <c r="E36" s="1" t="n">
        <v>55</v>
      </c>
      <c r="G36" s="9"/>
      <c r="H36" s="10" t="s">
        <v>16</v>
      </c>
      <c r="I36" s="10" t="s">
        <v>17</v>
      </c>
      <c r="J36" s="3" t="s">
        <v>60</v>
      </c>
      <c r="K36" s="3" t="s">
        <v>61</v>
      </c>
      <c r="L36" s="3" t="s">
        <v>62</v>
      </c>
      <c r="M36" s="3" t="s">
        <v>63</v>
      </c>
      <c r="N36" s="3" t="s">
        <v>64</v>
      </c>
      <c r="O36" s="3" t="s">
        <v>65</v>
      </c>
      <c r="P36" s="23" t="s">
        <v>34</v>
      </c>
      <c r="Q36" s="3" t="s">
        <v>63</v>
      </c>
    </row>
    <row r="37" customFormat="false" ht="12.75" hidden="false" customHeight="false" outlineLevel="0" collapsed="false">
      <c r="A37" s="0" t="n">
        <v>2</v>
      </c>
      <c r="B37" s="0" t="n">
        <v>167</v>
      </c>
      <c r="C37" s="0" t="n">
        <v>71</v>
      </c>
      <c r="D37" s="0" t="n">
        <v>166</v>
      </c>
      <c r="E37" s="1" t="n">
        <v>63</v>
      </c>
      <c r="G37" s="9" t="n">
        <v>1</v>
      </c>
      <c r="H37" s="12" t="n">
        <f aca="false">H7</f>
        <v>156</v>
      </c>
      <c r="I37" s="12" t="n">
        <f aca="false">H37+$H$4</f>
        <v>159</v>
      </c>
      <c r="J37" s="53" t="s">
        <v>66</v>
      </c>
      <c r="K37" s="12" t="n">
        <f aca="false">(I37-$K$27)/$H$30</f>
        <v>-1.87330825536767</v>
      </c>
      <c r="L37" s="54" t="n">
        <v>-0.5</v>
      </c>
      <c r="M37" s="3" t="n">
        <v>-0.3997</v>
      </c>
      <c r="N37" s="24" t="n">
        <f aca="false">M37-L37</f>
        <v>0.1003</v>
      </c>
      <c r="O37" s="12" t="n">
        <f aca="false">100*N37</f>
        <v>10.03</v>
      </c>
      <c r="P37" s="25" t="n">
        <f aca="false">M7</f>
        <v>0.04</v>
      </c>
      <c r="Q37" s="55" t="n">
        <f aca="false">_xlfn.NORM.DIST(K37,0,1,1)-0.5</f>
        <v>-0.469487084720001</v>
      </c>
    </row>
    <row r="38" customFormat="false" ht="12.75" hidden="false" customHeight="false" outlineLevel="0" collapsed="false">
      <c r="A38" s="0" t="n">
        <v>3</v>
      </c>
      <c r="B38" s="0" t="n">
        <v>169</v>
      </c>
      <c r="C38" s="0" t="n">
        <v>59</v>
      </c>
      <c r="D38" s="0" t="n">
        <v>166</v>
      </c>
      <c r="E38" s="1" t="n">
        <v>60</v>
      </c>
      <c r="G38" s="9" t="n">
        <v>2</v>
      </c>
      <c r="H38" s="12" t="n">
        <f aca="false">I37</f>
        <v>159</v>
      </c>
      <c r="I38" s="12" t="n">
        <f aca="false">H38+$H$4</f>
        <v>162</v>
      </c>
      <c r="J38" s="12" t="n">
        <f aca="false">(H38-$K$27)/$H$30</f>
        <v>-1.87330825536767</v>
      </c>
      <c r="K38" s="12" t="n">
        <f aca="false">(I38-$K$27)/$H$30</f>
        <v>-1.27860722191762</v>
      </c>
      <c r="L38" s="3" t="n">
        <f aca="false">M37</f>
        <v>-0.3997</v>
      </c>
      <c r="M38" s="3" t="n">
        <v>-0.2357</v>
      </c>
      <c r="N38" s="24" t="n">
        <f aca="false">M38-L38</f>
        <v>0.164</v>
      </c>
      <c r="O38" s="12" t="n">
        <f aca="false">100*N38</f>
        <v>16.4</v>
      </c>
      <c r="P38" s="25" t="n">
        <f aca="false">M8</f>
        <v>0.06</v>
      </c>
      <c r="Q38" s="55" t="n">
        <f aca="false">_xlfn.NORM.DIST(K38,0,1,1)-0.5</f>
        <v>-0.399482297235168</v>
      </c>
    </row>
    <row r="39" customFormat="false" ht="12.75" hidden="false" customHeight="false" outlineLevel="0" collapsed="false">
      <c r="A39" s="0" t="n">
        <v>4</v>
      </c>
      <c r="B39" s="0" t="n">
        <v>162</v>
      </c>
      <c r="C39" s="0" t="n">
        <v>52</v>
      </c>
      <c r="D39" s="0" t="n">
        <v>166</v>
      </c>
      <c r="E39" s="1" t="n">
        <v>55</v>
      </c>
      <c r="G39" s="9" t="n">
        <v>3</v>
      </c>
      <c r="H39" s="12" t="n">
        <f aca="false">I38</f>
        <v>162</v>
      </c>
      <c r="I39" s="12" t="n">
        <f aca="false">H39+$H$4</f>
        <v>165</v>
      </c>
      <c r="J39" s="12" t="n">
        <f aca="false">(H39-$K$27)/$H$30</f>
        <v>-1.27860722191762</v>
      </c>
      <c r="K39" s="12" t="n">
        <f aca="false">(I39-$K$27)/$H$30</f>
        <v>-0.683906188467564</v>
      </c>
      <c r="L39" s="3" t="n">
        <f aca="false">M38</f>
        <v>-0.2357</v>
      </c>
      <c r="M39" s="3" t="n">
        <v>0.004</v>
      </c>
      <c r="N39" s="24" t="n">
        <f aca="false">M39-L39</f>
        <v>0.2397</v>
      </c>
      <c r="O39" s="12" t="n">
        <f aca="false">100*N39</f>
        <v>23.97</v>
      </c>
      <c r="P39" s="25" t="n">
        <f aca="false">M9</f>
        <v>0.14</v>
      </c>
      <c r="Q39" s="55" t="n">
        <f aca="false">_xlfn.NORM.DIST(K39,0,1,1)-0.5</f>
        <v>-0.252982796997484</v>
      </c>
    </row>
    <row r="40" customFormat="false" ht="12.75" hidden="false" customHeight="false" outlineLevel="0" collapsed="false">
      <c r="A40" s="0" t="n">
        <v>5</v>
      </c>
      <c r="B40" s="0" t="n">
        <v>169</v>
      </c>
      <c r="C40" s="0" t="n">
        <v>68</v>
      </c>
      <c r="D40" s="0" t="n">
        <v>166</v>
      </c>
      <c r="E40" s="1" t="n">
        <v>57</v>
      </c>
      <c r="G40" s="9" t="n">
        <v>4</v>
      </c>
      <c r="H40" s="12" t="n">
        <f aca="false">I39</f>
        <v>165</v>
      </c>
      <c r="I40" s="12" t="n">
        <f aca="false">H40+$H$4</f>
        <v>168</v>
      </c>
      <c r="J40" s="12" t="n">
        <f aca="false">(H40-$K$27)/$H$30</f>
        <v>-0.683906188467564</v>
      </c>
      <c r="K40" s="12" t="n">
        <f aca="false">(I40-$K$27)/$H$30</f>
        <v>-0.0892051550175113</v>
      </c>
      <c r="L40" s="3" t="n">
        <f aca="false">M39</f>
        <v>0.004</v>
      </c>
      <c r="M40" s="3" t="n">
        <v>0.2454</v>
      </c>
      <c r="N40" s="24" t="n">
        <f aca="false">M40-L40</f>
        <v>0.2414</v>
      </c>
      <c r="O40" s="12" t="n">
        <f aca="false">100*N40</f>
        <v>24.14</v>
      </c>
      <c r="P40" s="25" t="n">
        <f aca="false">M10</f>
        <v>0.24</v>
      </c>
      <c r="Q40" s="55" t="n">
        <f aca="false">_xlfn.NORM.DIST(K40,0,1,1)-0.5</f>
        <v>-0.0355405656990345</v>
      </c>
    </row>
    <row r="41" customFormat="false" ht="12.75" hidden="false" customHeight="false" outlineLevel="0" collapsed="false">
      <c r="A41" s="0" t="n">
        <v>6</v>
      </c>
      <c r="B41" s="0" t="n">
        <v>173</v>
      </c>
      <c r="C41" s="0" t="n">
        <v>66</v>
      </c>
      <c r="D41" s="0" t="n">
        <v>167</v>
      </c>
      <c r="E41" s="1" t="n">
        <v>64</v>
      </c>
      <c r="G41" s="9" t="n">
        <v>5</v>
      </c>
      <c r="H41" s="12" t="n">
        <f aca="false">I40</f>
        <v>168</v>
      </c>
      <c r="I41" s="12" t="n">
        <f aca="false">H41+$H$4</f>
        <v>171</v>
      </c>
      <c r="J41" s="12" t="n">
        <f aca="false">(H41-$K$27)/$H$30</f>
        <v>-0.0892051550175113</v>
      </c>
      <c r="K41" s="12" t="n">
        <f aca="false">(I41-$K$27)/$H$30</f>
        <v>0.505495878432541</v>
      </c>
      <c r="L41" s="3" t="n">
        <f aca="false">M40</f>
        <v>0.2454</v>
      </c>
      <c r="M41" s="3" t="n">
        <v>0.4032</v>
      </c>
      <c r="N41" s="24" t="n">
        <f aca="false">M41-L41</f>
        <v>0.1578</v>
      </c>
      <c r="O41" s="12" t="n">
        <f aca="false">100*N41</f>
        <v>15.78</v>
      </c>
      <c r="P41" s="25" t="n">
        <f aca="false">M11</f>
        <v>0.19</v>
      </c>
      <c r="Q41" s="55" t="n">
        <f aca="false">_xlfn.NORM.DIST(K41,0,1,1)-0.5</f>
        <v>0.193394703718126</v>
      </c>
    </row>
    <row r="42" customFormat="false" ht="12.75" hidden="false" customHeight="false" outlineLevel="0" collapsed="false">
      <c r="A42" s="0" t="n">
        <v>7</v>
      </c>
      <c r="B42" s="0" t="n">
        <v>172</v>
      </c>
      <c r="C42" s="0" t="n">
        <v>66</v>
      </c>
      <c r="D42" s="0" t="n">
        <v>167</v>
      </c>
      <c r="E42" s="1" t="n">
        <v>53</v>
      </c>
      <c r="G42" s="9" t="n">
        <v>6</v>
      </c>
      <c r="H42" s="12" t="n">
        <f aca="false">I41</f>
        <v>171</v>
      </c>
      <c r="I42" s="12" t="n">
        <f aca="false">H42+$H$4</f>
        <v>174</v>
      </c>
      <c r="J42" s="12" t="n">
        <f aca="false">(H42-$K$27)/$H$30</f>
        <v>0.505495878432541</v>
      </c>
      <c r="K42" s="12" t="n">
        <f aca="false">(I42-$K$27)/$H$30</f>
        <v>1.10019691188259</v>
      </c>
      <c r="L42" s="3" t="n">
        <f aca="false">M41</f>
        <v>0.4032</v>
      </c>
      <c r="M42" s="3" t="n">
        <v>0.4744</v>
      </c>
      <c r="N42" s="24" t="n">
        <f aca="false">M42-L42</f>
        <v>0.0712</v>
      </c>
      <c r="O42" s="12" t="n">
        <f aca="false">100*N42</f>
        <v>7.12</v>
      </c>
      <c r="P42" s="25" t="n">
        <f aca="false">M12</f>
        <v>0.2</v>
      </c>
      <c r="Q42" s="55" t="n">
        <f aca="false">_xlfn.NORM.DIST(K42,0,1,1)-0.5</f>
        <v>0.364376832090097</v>
      </c>
    </row>
    <row r="43" customFormat="false" ht="12.75" hidden="false" customHeight="false" outlineLevel="0" collapsed="false">
      <c r="A43" s="0" t="n">
        <v>8</v>
      </c>
      <c r="B43" s="0" t="n">
        <v>164</v>
      </c>
      <c r="C43" s="0" t="n">
        <v>60</v>
      </c>
      <c r="D43" s="0" t="n">
        <v>167</v>
      </c>
      <c r="E43" s="1" t="n">
        <v>65</v>
      </c>
      <c r="G43" s="9" t="n">
        <v>7</v>
      </c>
      <c r="H43" s="12" t="n">
        <f aca="false">I42</f>
        <v>174</v>
      </c>
      <c r="I43" s="12" t="n">
        <f aca="false">H43+$H$4</f>
        <v>177</v>
      </c>
      <c r="J43" s="12" t="n">
        <f aca="false">(H43-$K$27)/$H$30</f>
        <v>1.10019691188259</v>
      </c>
      <c r="K43" s="12" t="n">
        <f aca="false">(I43-$K$27)/$H$30</f>
        <v>1.69489794533265</v>
      </c>
      <c r="L43" s="3" t="n">
        <f aca="false">M42</f>
        <v>0.4744</v>
      </c>
      <c r="M43" s="0" t="n">
        <v>0.4952</v>
      </c>
      <c r="N43" s="24" t="n">
        <f aca="false">M43-L43</f>
        <v>0.0208</v>
      </c>
      <c r="O43" s="12" t="n">
        <f aca="false">100*N43</f>
        <v>2.08</v>
      </c>
      <c r="P43" s="25" t="n">
        <f aca="false">M13</f>
        <v>0.08</v>
      </c>
      <c r="Q43" s="55" t="n">
        <f aca="false">_xlfn.NORM.DIST(K43,0,1,1)-0.5</f>
        <v>0.454952608813429</v>
      </c>
    </row>
    <row r="44" customFormat="false" ht="12.75" hidden="false" customHeight="false" outlineLevel="0" collapsed="false">
      <c r="A44" s="0" t="n">
        <v>9</v>
      </c>
      <c r="B44" s="0" t="n">
        <v>170</v>
      </c>
      <c r="C44" s="0" t="n">
        <v>63</v>
      </c>
      <c r="D44" s="0" t="n">
        <v>167</v>
      </c>
      <c r="E44" s="1" t="n">
        <v>63</v>
      </c>
      <c r="G44" s="9" t="n">
        <v>8</v>
      </c>
      <c r="H44" s="12" t="n">
        <f aca="false">I43</f>
        <v>177</v>
      </c>
      <c r="I44" s="12" t="n">
        <f aca="false">H44+$H$4</f>
        <v>180</v>
      </c>
      <c r="J44" s="12" t="n">
        <f aca="false">(H44-$K$27)/$H$30</f>
        <v>1.69489794533265</v>
      </c>
      <c r="K44" s="56" t="s">
        <v>66</v>
      </c>
      <c r="L44" s="3" t="n">
        <f aca="false">M43</f>
        <v>0.4952</v>
      </c>
      <c r="M44" s="54" t="n">
        <v>0.5</v>
      </c>
      <c r="N44" s="24" t="n">
        <f aca="false">M44-L44</f>
        <v>0.00480000000000003</v>
      </c>
      <c r="O44" s="12" t="n">
        <f aca="false">100*N44</f>
        <v>0.480000000000003</v>
      </c>
      <c r="P44" s="25" t="n">
        <f aca="false">M14</f>
        <v>0.05</v>
      </c>
      <c r="Q44" s="55" t="e">
        <f aca="false">_xlfn.NORM.DIST(K44,0,1,1)-0.5</f>
        <v>#VALUE!</v>
      </c>
    </row>
    <row r="45" customFormat="false" ht="12.75" hidden="false" customHeight="false" outlineLevel="0" collapsed="false">
      <c r="A45" s="0" t="n">
        <v>10</v>
      </c>
      <c r="B45" s="0" t="n">
        <v>167</v>
      </c>
      <c r="C45" s="0" t="n">
        <v>65</v>
      </c>
      <c r="D45" s="0" t="n">
        <v>167</v>
      </c>
      <c r="E45" s="1" t="n">
        <v>65</v>
      </c>
      <c r="K45" s="0" t="s">
        <v>119</v>
      </c>
      <c r="N45" s="24" t="n">
        <f aca="false">SUM(N37:N44)</f>
        <v>1</v>
      </c>
      <c r="O45" s="12" t="n">
        <f aca="false">SUM(O37:O44)</f>
        <v>100</v>
      </c>
    </row>
    <row r="46" customFormat="false" ht="12.75" hidden="false" customHeight="false" outlineLevel="0" collapsed="false">
      <c r="A46" s="0" t="n">
        <v>11</v>
      </c>
      <c r="B46" s="0" t="n">
        <v>166</v>
      </c>
      <c r="C46" s="0" t="n">
        <v>55</v>
      </c>
      <c r="D46" s="0" t="n">
        <v>167</v>
      </c>
      <c r="E46" s="1" t="n">
        <v>53</v>
      </c>
      <c r="J46" s="0" t="s">
        <v>120</v>
      </c>
      <c r="L46" s="0" t="s">
        <v>121</v>
      </c>
    </row>
    <row r="47" customFormat="false" ht="12.75" hidden="false" customHeight="false" outlineLevel="0" collapsed="false">
      <c r="A47" s="0" t="n">
        <v>12</v>
      </c>
      <c r="B47" s="0" t="n">
        <v>156</v>
      </c>
      <c r="C47" s="0" t="n">
        <v>54</v>
      </c>
      <c r="D47" s="0" t="n">
        <v>167</v>
      </c>
      <c r="E47" s="1" t="n">
        <v>63</v>
      </c>
      <c r="G47" s="3" t="s">
        <v>67</v>
      </c>
      <c r="H47" s="25" t="s">
        <v>16</v>
      </c>
      <c r="I47" s="10" t="s">
        <v>17</v>
      </c>
      <c r="J47" s="10" t="s">
        <v>18</v>
      </c>
      <c r="K47" s="26" t="s">
        <v>68</v>
      </c>
      <c r="L47" s="3" t="s">
        <v>65</v>
      </c>
      <c r="M47" s="27" t="s">
        <v>65</v>
      </c>
      <c r="N47" s="27" t="s">
        <v>69</v>
      </c>
      <c r="O47" s="3" t="s">
        <v>70</v>
      </c>
      <c r="P47" s="0" t="s">
        <v>71</v>
      </c>
      <c r="Q47" s="3"/>
    </row>
    <row r="48" customFormat="false" ht="12.75" hidden="false" customHeight="false" outlineLevel="0" collapsed="false">
      <c r="A48" s="0" t="n">
        <v>13</v>
      </c>
      <c r="B48" s="0" t="n">
        <v>166</v>
      </c>
      <c r="C48" s="0" t="n">
        <v>55</v>
      </c>
      <c r="D48" s="0" t="n">
        <v>167</v>
      </c>
      <c r="E48" s="1" t="n">
        <v>58</v>
      </c>
      <c r="G48" s="28" t="n">
        <f aca="false">N37/$K$27</f>
        <v>0.000595428910655981</v>
      </c>
      <c r="H48" s="12" t="n">
        <f aca="false">H37</f>
        <v>156</v>
      </c>
      <c r="I48" s="12" t="n">
        <f aca="false">I37</f>
        <v>159</v>
      </c>
      <c r="J48" s="29" t="n">
        <f aca="false">J7</f>
        <v>4</v>
      </c>
      <c r="K48" s="30" t="n">
        <f aca="false">J48</f>
        <v>4</v>
      </c>
      <c r="L48" s="8" t="n">
        <f aca="false">O37</f>
        <v>10.03</v>
      </c>
      <c r="M48" s="31" t="n">
        <f aca="false">L48</f>
        <v>10.03</v>
      </c>
      <c r="N48" s="31" t="n">
        <f aca="false">K48-M48</f>
        <v>-6.03</v>
      </c>
      <c r="O48" s="32" t="n">
        <f aca="false">N48*N48/M48</f>
        <v>3.62521435692921</v>
      </c>
      <c r="P48" s="0" t="n">
        <f aca="false">K48*K48/M48</f>
        <v>1.59521435692921</v>
      </c>
      <c r="Q48" s="3" t="n">
        <v>1</v>
      </c>
    </row>
    <row r="49" customFormat="false" ht="12.75" hidden="false" customHeight="false" outlineLevel="0" collapsed="false">
      <c r="A49" s="0" t="n">
        <v>14</v>
      </c>
      <c r="B49" s="0" t="n">
        <v>156</v>
      </c>
      <c r="C49" s="0" t="n">
        <v>54</v>
      </c>
      <c r="D49" s="0" t="n">
        <v>167</v>
      </c>
      <c r="E49" s="1" t="n">
        <v>63</v>
      </c>
      <c r="G49" s="28" t="n">
        <f aca="false">N38/$K$27</f>
        <v>0.000973582665479371</v>
      </c>
      <c r="H49" s="12" t="n">
        <f aca="false">H38</f>
        <v>159</v>
      </c>
      <c r="I49" s="12" t="n">
        <f aca="false">I38</f>
        <v>162</v>
      </c>
      <c r="J49" s="14" t="n">
        <f aca="false">J8</f>
        <v>6</v>
      </c>
      <c r="K49" s="30" t="n">
        <f aca="false">J49</f>
        <v>6</v>
      </c>
      <c r="L49" s="8" t="n">
        <f aca="false">O38</f>
        <v>16.4</v>
      </c>
      <c r="M49" s="31" t="n">
        <f aca="false">L49</f>
        <v>16.4</v>
      </c>
      <c r="N49" s="31" t="n">
        <f aca="false">K49-M49</f>
        <v>-10.4</v>
      </c>
      <c r="O49" s="32" t="n">
        <f aca="false">N49*N49/M49</f>
        <v>6.59512195121951</v>
      </c>
      <c r="P49" s="0" t="n">
        <f aca="false">K49*K49/M49</f>
        <v>2.19512195121951</v>
      </c>
      <c r="Q49" s="3" t="n">
        <v>2</v>
      </c>
    </row>
    <row r="50" customFormat="false" ht="12.75" hidden="false" customHeight="false" outlineLevel="0" collapsed="false">
      <c r="A50" s="0" t="n">
        <v>15</v>
      </c>
      <c r="B50" s="0" t="n">
        <v>169</v>
      </c>
      <c r="C50" s="0" t="n">
        <v>57</v>
      </c>
      <c r="D50" s="0" t="n">
        <v>168</v>
      </c>
      <c r="E50" s="1" t="n">
        <v>62</v>
      </c>
      <c r="G50" s="28" t="n">
        <f aca="false">N39/$K$27</f>
        <v>0.00142297417631345</v>
      </c>
      <c r="H50" s="12" t="n">
        <f aca="false">H39</f>
        <v>162</v>
      </c>
      <c r="I50" s="12" t="n">
        <f aca="false">I39</f>
        <v>165</v>
      </c>
      <c r="J50" s="14" t="n">
        <f aca="false">J9</f>
        <v>14</v>
      </c>
      <c r="K50" s="30" t="n">
        <f aca="false">J50</f>
        <v>14</v>
      </c>
      <c r="L50" s="8" t="n">
        <f aca="false">O39</f>
        <v>23.97</v>
      </c>
      <c r="M50" s="31" t="n">
        <f aca="false">L50</f>
        <v>23.97</v>
      </c>
      <c r="N50" s="31" t="n">
        <f aca="false">K50-M50</f>
        <v>-9.97</v>
      </c>
      <c r="O50" s="32" t="n">
        <f aca="false">N50*N50/M50</f>
        <v>4.14688777638715</v>
      </c>
      <c r="P50" s="0" t="n">
        <f aca="false">K50*K50/M50</f>
        <v>8.17688777638715</v>
      </c>
      <c r="Q50" s="3" t="n">
        <v>3</v>
      </c>
    </row>
    <row r="51" customFormat="false" ht="12.75" hidden="false" customHeight="false" outlineLevel="0" collapsed="false">
      <c r="A51" s="0" t="n">
        <v>16</v>
      </c>
      <c r="B51" s="0" t="n">
        <v>165</v>
      </c>
      <c r="C51" s="0" t="n">
        <v>55</v>
      </c>
      <c r="D51" s="0" t="n">
        <v>168</v>
      </c>
      <c r="E51" s="1" t="n">
        <v>54</v>
      </c>
      <c r="G51" s="28" t="n">
        <f aca="false">N40/$K$27</f>
        <v>0.00143306619174829</v>
      </c>
      <c r="H51" s="12" t="n">
        <f aca="false">H40</f>
        <v>165</v>
      </c>
      <c r="I51" s="12" t="n">
        <f aca="false">I40</f>
        <v>168</v>
      </c>
      <c r="J51" s="14" t="n">
        <f aca="false">J10</f>
        <v>24</v>
      </c>
      <c r="K51" s="30" t="n">
        <f aca="false">J51</f>
        <v>24</v>
      </c>
      <c r="L51" s="8" t="n">
        <f aca="false">O40</f>
        <v>24.14</v>
      </c>
      <c r="M51" s="31" t="n">
        <f aca="false">L51</f>
        <v>24.14</v>
      </c>
      <c r="N51" s="31" t="n">
        <f aca="false">K51-M51</f>
        <v>-0.140000000000001</v>
      </c>
      <c r="O51" s="32" t="n">
        <f aca="false">N51*N51/M51</f>
        <v>0.00081193040596521</v>
      </c>
      <c r="P51" s="33" t="n">
        <f aca="false">K51*K51/M51</f>
        <v>23.860811930406</v>
      </c>
      <c r="Q51" s="3" t="n">
        <v>4</v>
      </c>
    </row>
    <row r="52" customFormat="false" ht="12.75" hidden="false" customHeight="false" outlineLevel="0" collapsed="false">
      <c r="A52" s="0" t="n">
        <v>17</v>
      </c>
      <c r="B52" s="0" t="n">
        <v>172</v>
      </c>
      <c r="C52" s="0" t="n">
        <v>78</v>
      </c>
      <c r="D52" s="0" t="n">
        <v>168</v>
      </c>
      <c r="E52" s="1" t="n">
        <v>68</v>
      </c>
      <c r="G52" s="28" t="n">
        <f aca="false">N41/$K$27</f>
        <v>0.000936776491540516</v>
      </c>
      <c r="H52" s="12" t="n">
        <f aca="false">H41</f>
        <v>168</v>
      </c>
      <c r="I52" s="12" t="n">
        <f aca="false">I41</f>
        <v>171</v>
      </c>
      <c r="J52" s="14" t="n">
        <f aca="false">J11</f>
        <v>19</v>
      </c>
      <c r="K52" s="30" t="n">
        <f aca="false">J52</f>
        <v>19</v>
      </c>
      <c r="L52" s="8" t="n">
        <f aca="false">O41</f>
        <v>15.78</v>
      </c>
      <c r="M52" s="31" t="n">
        <f aca="false">L52</f>
        <v>15.78</v>
      </c>
      <c r="N52" s="31" t="n">
        <f aca="false">K52-M52</f>
        <v>3.22</v>
      </c>
      <c r="O52" s="32" t="n">
        <f aca="false">N52*N52/M52</f>
        <v>0.657059569074779</v>
      </c>
      <c r="P52" s="33" t="n">
        <f aca="false">K52*K52/M52</f>
        <v>22.8770595690748</v>
      </c>
      <c r="Q52" s="3" t="n">
        <v>5</v>
      </c>
    </row>
    <row r="53" customFormat="false" ht="12.75" hidden="false" customHeight="false" outlineLevel="0" collapsed="false">
      <c r="A53" s="0" t="n">
        <v>18</v>
      </c>
      <c r="B53" s="0" t="n">
        <v>178</v>
      </c>
      <c r="C53" s="0" t="n">
        <v>60</v>
      </c>
      <c r="D53" s="0" t="n">
        <v>169</v>
      </c>
      <c r="E53" s="1" t="n">
        <v>73</v>
      </c>
      <c r="F53" s="2" t="s">
        <v>72</v>
      </c>
      <c r="G53" s="28" t="n">
        <f aca="false">N42/$K$27</f>
        <v>0.000422677352330068</v>
      </c>
      <c r="H53" s="12" t="n">
        <f aca="false">H42</f>
        <v>171</v>
      </c>
      <c r="I53" s="12" t="n">
        <f aca="false">I42</f>
        <v>174</v>
      </c>
      <c r="J53" s="14" t="n">
        <f aca="false">J12</f>
        <v>20</v>
      </c>
      <c r="K53" s="30" t="n">
        <f aca="false">J53+J54+J55</f>
        <v>33</v>
      </c>
      <c r="L53" s="8" t="n">
        <f aca="false">O42</f>
        <v>7.12</v>
      </c>
      <c r="M53" s="30" t="n">
        <f aca="false">L53+L54+L55</f>
        <v>9.68</v>
      </c>
      <c r="N53" s="31" t="n">
        <f aca="false">K53-M53</f>
        <v>23.32</v>
      </c>
      <c r="O53" s="32" t="n">
        <f aca="false">N53*N53/M53</f>
        <v>56.18</v>
      </c>
      <c r="P53" s="33" t="n">
        <f aca="false">K53*K53/M53</f>
        <v>112.5</v>
      </c>
      <c r="Q53" s="3" t="n">
        <v>6</v>
      </c>
    </row>
    <row r="54" customFormat="false" ht="12.75" hidden="false" customHeight="false" outlineLevel="0" collapsed="false">
      <c r="A54" s="0" t="n">
        <v>19</v>
      </c>
      <c r="B54" s="0" t="n">
        <v>170</v>
      </c>
      <c r="C54" s="0" t="n">
        <v>63</v>
      </c>
      <c r="D54" s="0" t="n">
        <v>169</v>
      </c>
      <c r="E54" s="1" t="n">
        <v>60</v>
      </c>
      <c r="G54" s="28" t="n">
        <f aca="false">N43/$K$27</f>
        <v>0.000123478777085188</v>
      </c>
      <c r="H54" s="12" t="n">
        <f aca="false">H43</f>
        <v>174</v>
      </c>
      <c r="I54" s="12" t="n">
        <f aca="false">I43</f>
        <v>177</v>
      </c>
      <c r="J54" s="14" t="n">
        <f aca="false">J13</f>
        <v>8</v>
      </c>
      <c r="K54" s="30"/>
      <c r="L54" s="8" t="n">
        <f aca="false">O43</f>
        <v>2.08</v>
      </c>
      <c r="M54" s="31"/>
      <c r="N54" s="31"/>
      <c r="O54" s="32"/>
      <c r="P54" s="33"/>
      <c r="Q54" s="3" t="n">
        <v>7</v>
      </c>
    </row>
    <row r="55" customFormat="false" ht="12.75" hidden="false" customHeight="false" outlineLevel="0" collapsed="false">
      <c r="A55" s="0" t="n">
        <v>20</v>
      </c>
      <c r="B55" s="0" t="n">
        <v>167</v>
      </c>
      <c r="C55" s="0" t="n">
        <v>61</v>
      </c>
      <c r="D55" s="0" t="n">
        <v>169</v>
      </c>
      <c r="E55" s="1" t="n">
        <v>57</v>
      </c>
      <c r="G55" s="28" t="n">
        <f aca="false">N44/$K$27</f>
        <v>2.84951024042744E-005</v>
      </c>
      <c r="H55" s="12" t="n">
        <f aca="false">H44</f>
        <v>177</v>
      </c>
      <c r="I55" s="12" t="n">
        <f aca="false">I44</f>
        <v>180</v>
      </c>
      <c r="J55" s="14" t="n">
        <f aca="false">J14</f>
        <v>5</v>
      </c>
      <c r="K55" s="30"/>
      <c r="L55" s="8" t="n">
        <f aca="false">O44</f>
        <v>0.480000000000003</v>
      </c>
      <c r="M55" s="31"/>
      <c r="N55" s="31"/>
      <c r="O55" s="32"/>
      <c r="P55" s="33"/>
      <c r="Q55" s="3" t="n">
        <v>8</v>
      </c>
    </row>
    <row r="56" customFormat="false" ht="12.75" hidden="false" customHeight="false" outlineLevel="0" collapsed="false">
      <c r="A56" s="0" t="n">
        <v>21</v>
      </c>
      <c r="B56" s="0" t="n">
        <v>166</v>
      </c>
      <c r="C56" s="0" t="n">
        <v>62</v>
      </c>
      <c r="D56" s="0" t="n">
        <v>169</v>
      </c>
      <c r="E56" s="1" t="n">
        <v>61</v>
      </c>
      <c r="K56" s="14" t="n">
        <f aca="false">SUM(K48:K55)</f>
        <v>100</v>
      </c>
      <c r="L56" s="14" t="n">
        <f aca="false">SUM(L48:L55)</f>
        <v>100</v>
      </c>
      <c r="M56" s="57" t="n">
        <f aca="false">SUM(M48:M54)</f>
        <v>100</v>
      </c>
      <c r="N56" s="0" t="s">
        <v>122</v>
      </c>
      <c r="O56" s="57" t="n">
        <f aca="false">SUM(O48:O55)</f>
        <v>71.2050955840166</v>
      </c>
      <c r="P56" s="57" t="n">
        <f aca="false">SUM(P48:P55)</f>
        <v>171.205095584017</v>
      </c>
      <c r="Q56" s="0" t="s">
        <v>123</v>
      </c>
    </row>
    <row r="57" customFormat="false" ht="12.75" hidden="false" customHeight="false" outlineLevel="0" collapsed="false">
      <c r="A57" s="0" t="n">
        <v>22</v>
      </c>
      <c r="B57" s="0" t="n">
        <v>163</v>
      </c>
      <c r="C57" s="0" t="n">
        <v>60</v>
      </c>
      <c r="D57" s="0" t="n">
        <v>169</v>
      </c>
      <c r="E57" s="1" t="n">
        <v>75</v>
      </c>
      <c r="L57" s="0" t="s">
        <v>74</v>
      </c>
      <c r="M57" s="0" t="s">
        <v>75</v>
      </c>
      <c r="N57" s="0" t="n">
        <f aca="false">H30/SQRT(100)</f>
        <v>0.504455151624007</v>
      </c>
      <c r="P57" s="8" t="n">
        <f aca="false">P56-100</f>
        <v>71.2050955840167</v>
      </c>
    </row>
    <row r="58" customFormat="false" ht="12.75" hidden="false" customHeight="false" outlineLevel="0" collapsed="false">
      <c r="A58" s="0" t="n">
        <v>23</v>
      </c>
      <c r="B58" s="0" t="n">
        <v>157</v>
      </c>
      <c r="C58" s="0" t="n">
        <v>69</v>
      </c>
      <c r="D58" s="0" t="n">
        <v>170</v>
      </c>
      <c r="E58" s="1" t="n">
        <v>73</v>
      </c>
      <c r="G58" s="5"/>
      <c r="H58" s="8"/>
      <c r="J58" s="5"/>
      <c r="L58" s="0" t="s">
        <v>76</v>
      </c>
      <c r="M58" s="0" t="s">
        <v>77</v>
      </c>
      <c r="N58" s="8" t="n">
        <v>7.8</v>
      </c>
      <c r="O58" s="58" t="n">
        <f aca="false">_xlfn.CHISQ.INV.RT(0.05,3)</f>
        <v>7.81472790325118</v>
      </c>
      <c r="P58" s="0" t="s">
        <v>14</v>
      </c>
    </row>
    <row r="59" customFormat="false" ht="12.75" hidden="false" customHeight="false" outlineLevel="0" collapsed="false">
      <c r="A59" s="0" t="n">
        <v>24</v>
      </c>
      <c r="B59" s="0" t="n">
        <v>173</v>
      </c>
      <c r="C59" s="0" t="n">
        <v>66</v>
      </c>
      <c r="D59" s="0" t="n">
        <v>170</v>
      </c>
      <c r="E59" s="1" t="n">
        <v>69</v>
      </c>
      <c r="M59" s="0" t="s">
        <v>124</v>
      </c>
    </row>
    <row r="60" customFormat="false" ht="12.75" hidden="false" customHeight="false" outlineLevel="0" collapsed="false">
      <c r="A60" s="0" t="n">
        <v>25</v>
      </c>
      <c r="B60" s="0" t="n">
        <v>176</v>
      </c>
      <c r="C60" s="0" t="n">
        <v>65</v>
      </c>
      <c r="D60" s="0" t="n">
        <v>170</v>
      </c>
      <c r="E60" s="1" t="n">
        <v>65</v>
      </c>
      <c r="H60" s="6" t="s">
        <v>78</v>
      </c>
      <c r="I60" s="6"/>
      <c r="J60" s="6"/>
      <c r="K60" s="0" t="s">
        <v>79</v>
      </c>
    </row>
    <row r="61" customFormat="false" ht="12.75" hidden="false" customHeight="false" outlineLevel="0" collapsed="false">
      <c r="A61" s="0" t="n">
        <v>26</v>
      </c>
      <c r="B61" s="0" t="n">
        <v>167</v>
      </c>
      <c r="C61" s="0" t="n">
        <v>62</v>
      </c>
      <c r="D61" s="0" t="n">
        <v>171</v>
      </c>
      <c r="E61" s="1" t="n">
        <v>72</v>
      </c>
    </row>
    <row r="62" customFormat="false" ht="12.75" hidden="false" customHeight="false" outlineLevel="0" collapsed="false">
      <c r="A62" s="0" t="n">
        <v>27</v>
      </c>
      <c r="B62" s="0" t="n">
        <v>168</v>
      </c>
      <c r="C62" s="0" t="n">
        <v>64</v>
      </c>
      <c r="D62" s="0" t="n">
        <v>171</v>
      </c>
      <c r="E62" s="1" t="n">
        <v>67</v>
      </c>
      <c r="G62" s="0" t="s">
        <v>80</v>
      </c>
      <c r="I62" s="0" t="n">
        <f aca="false">MIN(C2:C101)</f>
        <v>51</v>
      </c>
      <c r="J62" s="0" t="s">
        <v>81</v>
      </c>
      <c r="K62" s="0" t="n">
        <f aca="false">MAX(C2:C101)</f>
        <v>81</v>
      </c>
      <c r="L62" s="0" t="str">
        <f aca="false">G3</f>
        <v>k=</v>
      </c>
      <c r="M62" s="0" t="n">
        <f aca="false">H3</f>
        <v>8</v>
      </c>
      <c r="O62" s="0" t="str">
        <f aca="false">G4</f>
        <v>h=</v>
      </c>
      <c r="P62" s="0" t="n">
        <f aca="false">H63/M62</f>
        <v>3.75</v>
      </c>
    </row>
    <row r="63" customFormat="false" ht="12.75" hidden="false" customHeight="false" outlineLevel="0" collapsed="false">
      <c r="A63" s="0" t="n">
        <v>28</v>
      </c>
      <c r="B63" s="0" t="n">
        <v>172</v>
      </c>
      <c r="C63" s="0" t="n">
        <v>70</v>
      </c>
      <c r="D63" s="0" t="n">
        <v>171</v>
      </c>
      <c r="E63" s="1" t="n">
        <v>67</v>
      </c>
      <c r="G63" s="0" t="str">
        <f aca="false">G2</f>
        <v>R</v>
      </c>
      <c r="H63" s="0" t="n">
        <f aca="false">K62-I62</f>
        <v>30</v>
      </c>
      <c r="I63" s="0" t="str">
        <f aca="false">I2</f>
        <v>разброс</v>
      </c>
      <c r="K63" s="0" t="n">
        <f aca="false">(J65+K65)/2</f>
        <v>52.875</v>
      </c>
      <c r="L63" s="0" t="n">
        <f aca="false">(K65+L65)/2</f>
        <v>56.625</v>
      </c>
      <c r="M63" s="0" t="n">
        <f aca="false">(L65+M65)/2</f>
        <v>60.375</v>
      </c>
      <c r="N63" s="0" t="n">
        <f aca="false">(M65+N65)/2</f>
        <v>64.125</v>
      </c>
      <c r="O63" s="0" t="n">
        <f aca="false">(N65+O65)/2</f>
        <v>67.875</v>
      </c>
      <c r="P63" s="0" t="n">
        <f aca="false">(O65+P65)/2</f>
        <v>71.625</v>
      </c>
      <c r="Q63" s="0" t="n">
        <f aca="false">(P65+Q65)/2</f>
        <v>75.375</v>
      </c>
      <c r="R63" s="0" t="n">
        <f aca="false">(Q65+R65)/2</f>
        <v>79.125</v>
      </c>
    </row>
    <row r="64" customFormat="false" ht="12.75" hidden="false" customHeight="false" outlineLevel="0" collapsed="false">
      <c r="A64" s="0" t="n">
        <v>29</v>
      </c>
      <c r="B64" s="0" t="n">
        <v>168</v>
      </c>
      <c r="C64" s="0" t="n">
        <v>70</v>
      </c>
      <c r="D64" s="0" t="n">
        <v>171</v>
      </c>
      <c r="E64" s="1" t="n">
        <v>64</v>
      </c>
      <c r="I64" s="0" t="s">
        <v>1</v>
      </c>
      <c r="J64" s="3" t="n">
        <v>0</v>
      </c>
      <c r="K64" s="3" t="n">
        <v>1</v>
      </c>
      <c r="L64" s="3" t="n">
        <v>2</v>
      </c>
      <c r="M64" s="3" t="n">
        <v>3</v>
      </c>
      <c r="N64" s="3" t="n">
        <v>4</v>
      </c>
      <c r="O64" s="3" t="n">
        <v>5</v>
      </c>
      <c r="P64" s="3" t="n">
        <v>6</v>
      </c>
      <c r="Q64" s="3" t="n">
        <v>7</v>
      </c>
      <c r="R64" s="3" t="n">
        <v>8</v>
      </c>
    </row>
    <row r="65" customFormat="false" ht="12.75" hidden="false" customHeight="false" outlineLevel="0" collapsed="false">
      <c r="A65" s="0" t="n">
        <v>30</v>
      </c>
      <c r="B65" s="0" t="n">
        <v>177</v>
      </c>
      <c r="C65" s="0" t="n">
        <v>70</v>
      </c>
      <c r="D65" s="0" t="n">
        <v>171</v>
      </c>
      <c r="E65" s="1" t="n">
        <v>76</v>
      </c>
      <c r="H65" s="0" t="s">
        <v>0</v>
      </c>
      <c r="J65" s="12" t="n">
        <f aca="false">I62</f>
        <v>51</v>
      </c>
      <c r="K65" s="12" t="n">
        <f aca="false">J65+$P$62</f>
        <v>54.75</v>
      </c>
      <c r="L65" s="12" t="n">
        <f aca="false">K65+$P$62</f>
        <v>58.5</v>
      </c>
      <c r="M65" s="12" t="n">
        <f aca="false">L65+$P$62</f>
        <v>62.25</v>
      </c>
      <c r="N65" s="12" t="n">
        <f aca="false">M65+$P$62</f>
        <v>66</v>
      </c>
      <c r="O65" s="12" t="n">
        <f aca="false">N65+$P$62</f>
        <v>69.75</v>
      </c>
      <c r="P65" s="12" t="n">
        <f aca="false">O65+$P$62</f>
        <v>73.5</v>
      </c>
      <c r="Q65" s="12" t="n">
        <f aca="false">P65+$P$62</f>
        <v>77.25</v>
      </c>
      <c r="R65" s="35" t="n">
        <f aca="false">Q65+$P$62</f>
        <v>81</v>
      </c>
    </row>
    <row r="66" customFormat="false" ht="12.75" hidden="false" customHeight="false" outlineLevel="0" collapsed="false">
      <c r="A66" s="0" t="n">
        <v>31</v>
      </c>
      <c r="B66" s="0" t="n">
        <v>163</v>
      </c>
      <c r="C66" s="0" t="n">
        <v>68</v>
      </c>
      <c r="D66" s="0" t="n">
        <v>171</v>
      </c>
      <c r="E66" s="1" t="n">
        <v>60</v>
      </c>
      <c r="G66" s="9" t="n">
        <f aca="false">G7</f>
        <v>1</v>
      </c>
      <c r="H66" s="12" t="n">
        <f aca="false">H7</f>
        <v>156</v>
      </c>
      <c r="I66" s="12" t="n">
        <f aca="false">I7</f>
        <v>159</v>
      </c>
      <c r="J66" s="36"/>
      <c r="K66" s="37" t="n">
        <f aca="false">COUNTIF($E$2:$E$10,"&lt;=54")</f>
        <v>3</v>
      </c>
      <c r="L66" s="38" t="n">
        <f aca="false">COUNTIF(E2:E10,"&lt;=58")-K66</f>
        <v>2</v>
      </c>
      <c r="M66" s="34" t="n">
        <f aca="false">COUNTIF(E2:E10,"&lt;=62")-L66-K66</f>
        <v>2</v>
      </c>
      <c r="N66" s="39" t="n">
        <f aca="false">COUNTIF($E$2:$E$10,"&lt;=67")-M66-L66-K66</f>
        <v>1</v>
      </c>
      <c r="O66" s="6" t="n">
        <f aca="false">COUNTIF($E$2:$E$10,"&lt;=71")-N66-M66-L66-K66</f>
        <v>1</v>
      </c>
      <c r="P66" s="7" t="n">
        <v>0</v>
      </c>
      <c r="Q66" s="40" t="n">
        <v>0</v>
      </c>
      <c r="R66" s="41" t="n">
        <v>0</v>
      </c>
      <c r="S66" s="0" t="n">
        <f aca="false">SUM(K66:R66)</f>
        <v>9</v>
      </c>
      <c r="T66" s="0" t="n">
        <f aca="false">J48</f>
        <v>4</v>
      </c>
      <c r="U66" s="0" t="n">
        <f aca="false">G66</f>
        <v>1</v>
      </c>
      <c r="V66" s="0" t="n">
        <f aca="false">($K$63*K66+$L$63*L66+$M$63*M66+$N$63*N66+$O$63*O66+$P$63*P66+$Q$63*Q66+$R$63*R66)/S66</f>
        <v>58.2916666666667</v>
      </c>
      <c r="Y66" s="0" t="s">
        <v>125</v>
      </c>
      <c r="Z66" s="0" t="s">
        <v>0</v>
      </c>
      <c r="AA66" s="0" t="s">
        <v>1</v>
      </c>
      <c r="AB66" s="0" t="s">
        <v>126</v>
      </c>
      <c r="AC66" s="0" t="s">
        <v>127</v>
      </c>
      <c r="AD66" s="0" t="s">
        <v>128</v>
      </c>
      <c r="AE66" s="0" t="s">
        <v>129</v>
      </c>
      <c r="AF66" s="0" t="s">
        <v>130</v>
      </c>
    </row>
    <row r="67" customFormat="false" ht="12.75" hidden="false" customHeight="false" outlineLevel="0" collapsed="false">
      <c r="A67" s="0" t="n">
        <v>32</v>
      </c>
      <c r="B67" s="0" t="n">
        <v>169</v>
      </c>
      <c r="C67" s="0" t="n">
        <v>66</v>
      </c>
      <c r="D67" s="0" t="n">
        <v>171</v>
      </c>
      <c r="E67" s="1" t="n">
        <v>72</v>
      </c>
      <c r="G67" s="9" t="n">
        <f aca="false">G8</f>
        <v>2</v>
      </c>
      <c r="H67" s="12" t="n">
        <f aca="false">H8</f>
        <v>159</v>
      </c>
      <c r="I67" s="12" t="n">
        <f aca="false">I8</f>
        <v>162</v>
      </c>
      <c r="J67" s="36"/>
      <c r="K67" s="37" t="n">
        <f aca="false">COUNTIF($E$11:$E$32,"&lt;=54")</f>
        <v>2</v>
      </c>
      <c r="L67" s="38" t="n">
        <f aca="false">COUNTIF($E$11:$E$32,"&lt;=58")-K67</f>
        <v>3</v>
      </c>
      <c r="M67" s="34" t="n">
        <f aca="false">COUNTIF($E$11:$E$32,"&lt;=62")-L67-K67</f>
        <v>9</v>
      </c>
      <c r="N67" s="39" t="n">
        <f aca="false">COUNTIF($E$11:$E$32,"&lt;=67")-M67-L67-K67</f>
        <v>5</v>
      </c>
      <c r="O67" s="6" t="n">
        <f aca="false">COUNTIF($E$11:$E$32,"&lt;=71")-N67-M67-L67-K67</f>
        <v>2</v>
      </c>
      <c r="P67" s="7" t="n">
        <f aca="false">COUNTIF($E$11:$E$32,"&lt;=75")-O67-N67-M67-L67-K67</f>
        <v>1</v>
      </c>
      <c r="Q67" s="40" t="n">
        <f aca="false">COUNTIF($E$11:$E$32,"&lt;=79")-P67-O67-N67-M67-L67-K67</f>
        <v>0</v>
      </c>
      <c r="R67" s="41" t="n">
        <f aca="false">COUNTIF($E$11:$E$32,"&lt;=84")-Q67-P67-O67-N67-M67-L67-K67</f>
        <v>0</v>
      </c>
      <c r="S67" s="0" t="n">
        <f aca="false">SUM(K67:R67)</f>
        <v>22</v>
      </c>
      <c r="T67" s="19" t="n">
        <f aca="false">J49</f>
        <v>6</v>
      </c>
      <c r="U67" s="0" t="n">
        <f aca="false">G67</f>
        <v>2</v>
      </c>
      <c r="V67" s="0" t="n">
        <f aca="false">($K$63*K67+$L$63*L67+$M$63*M67+$N$63*N67+$O$63*O67+$P$63*P67+$Q$63*Q67+$R$63*R67)/S67</f>
        <v>61.2272727272727</v>
      </c>
      <c r="Y67" s="0" t="n">
        <v>1</v>
      </c>
      <c r="Z67" s="18" t="n">
        <f aca="false">J78</f>
        <v>157.5</v>
      </c>
      <c r="AA67" s="0" t="n">
        <f aca="false">V66</f>
        <v>58.2916666666667</v>
      </c>
      <c r="AB67" s="0" t="n">
        <f aca="false">Z67*Z67</f>
        <v>24806.25</v>
      </c>
      <c r="AC67" s="0" t="n">
        <f aca="false">Z67*AA67</f>
        <v>9180.9375</v>
      </c>
      <c r="AD67" s="0" t="n">
        <f aca="false">AA67*AA67</f>
        <v>3397.91840277778</v>
      </c>
      <c r="AE67" s="0" t="n">
        <v>1</v>
      </c>
      <c r="AF67" s="0" t="n">
        <f aca="false">Z76</f>
        <v>168</v>
      </c>
      <c r="AG67" s="0" t="n">
        <f aca="false">AA76</f>
        <v>66.2504142992424</v>
      </c>
    </row>
    <row r="68" customFormat="false" ht="12.75" hidden="false" customHeight="false" outlineLevel="0" collapsed="false">
      <c r="A68" s="0" t="n">
        <v>33</v>
      </c>
      <c r="B68" s="0" t="n">
        <v>173</v>
      </c>
      <c r="C68" s="0" t="n">
        <v>77</v>
      </c>
      <c r="D68" s="0" t="n">
        <v>171</v>
      </c>
      <c r="E68" s="1" t="n">
        <v>60</v>
      </c>
      <c r="G68" s="9" t="n">
        <f aca="false">G9</f>
        <v>3</v>
      </c>
      <c r="H68" s="12" t="n">
        <f aca="false">H9</f>
        <v>162</v>
      </c>
      <c r="I68" s="12" t="n">
        <f aca="false">I9</f>
        <v>165</v>
      </c>
      <c r="J68" s="36"/>
      <c r="K68" s="37" t="n">
        <f aca="false">COUNTIF($E$33:$E$52,"&lt;=54")</f>
        <v>3</v>
      </c>
      <c r="L68" s="38" t="n">
        <f aca="false">COUNTIF($E$33:$E$52,"&lt;=58")-K68</f>
        <v>5</v>
      </c>
      <c r="M68" s="34" t="n">
        <f aca="false">COUNTIF($E$33:$E$52,"&lt;=62")-L68-K68</f>
        <v>3</v>
      </c>
      <c r="N68" s="39" t="n">
        <f aca="false">COUNTIF($E$33:$E$52,"&lt;=67")-M68-L68-K68</f>
        <v>8</v>
      </c>
      <c r="O68" s="6" t="n">
        <f aca="false">COUNTIF($E$33:$E$52,"&lt;=71")-N68-M68-L68-K68</f>
        <v>1</v>
      </c>
      <c r="P68" s="7" t="n">
        <f aca="false">COUNTIF($E$33:$E$52,"&lt;=75")-O68-N68-M68-L68-K68</f>
        <v>0</v>
      </c>
      <c r="Q68" s="40" t="n">
        <f aca="false">COUNTIF($E$33:$E$52,"&lt;=79")-P68-O68-N68-M68-L68-K68</f>
        <v>0</v>
      </c>
      <c r="R68" s="41" t="n">
        <f aca="false">COUNTIF($E$33:$E$52,"&lt;=84")-Q68-P68-O68-N68-M68-L68-K68</f>
        <v>0</v>
      </c>
      <c r="S68" s="0" t="n">
        <f aca="false">SUM(K68:R68)</f>
        <v>20</v>
      </c>
      <c r="T68" s="19" t="n">
        <f aca="false">J50</f>
        <v>14</v>
      </c>
      <c r="U68" s="0" t="n">
        <f aca="false">G68</f>
        <v>3</v>
      </c>
      <c r="V68" s="0" t="n">
        <f aca="false">($K$63*K68+$L$63*L68+$M$63*M68+$N$63*N68+$O$63*O68+$P$63*P68+$Q$63*Q68+$R$63*R68)/S68</f>
        <v>60.1875</v>
      </c>
      <c r="Y68" s="0" t="n">
        <v>2</v>
      </c>
      <c r="Z68" s="18" t="n">
        <f aca="false">J79</f>
        <v>160.5</v>
      </c>
      <c r="AA68" s="0" t="n">
        <f aca="false">V67</f>
        <v>61.2272727272727</v>
      </c>
      <c r="AB68" s="0" t="n">
        <f aca="false">Z68*Z68</f>
        <v>25760.25</v>
      </c>
      <c r="AC68" s="0" t="n">
        <f aca="false">Z68*AA68</f>
        <v>9826.97727272727</v>
      </c>
      <c r="AD68" s="0" t="n">
        <f aca="false">AA68*AA68</f>
        <v>3748.77892561984</v>
      </c>
      <c r="AE68" s="0" t="n">
        <f aca="false">Z76</f>
        <v>168</v>
      </c>
      <c r="AF68" s="0" t="n">
        <f aca="false">AB76</f>
        <v>28271.25</v>
      </c>
      <c r="AG68" s="0" t="n">
        <f aca="false">AC76</f>
        <v>11168.2246981534</v>
      </c>
    </row>
    <row r="69" customFormat="false" ht="12.75" hidden="false" customHeight="false" outlineLevel="0" collapsed="false">
      <c r="A69" s="0" t="n">
        <v>1</v>
      </c>
      <c r="B69" s="0" t="n">
        <v>178</v>
      </c>
      <c r="C69" s="0" t="n">
        <v>71</v>
      </c>
      <c r="D69" s="0" t="n">
        <v>171</v>
      </c>
      <c r="E69" s="1" t="n">
        <v>67</v>
      </c>
      <c r="G69" s="9" t="n">
        <f aca="false">G10</f>
        <v>4</v>
      </c>
      <c r="H69" s="12" t="n">
        <f aca="false">H10</f>
        <v>165</v>
      </c>
      <c r="I69" s="12" t="n">
        <f aca="false">I10</f>
        <v>168</v>
      </c>
      <c r="J69" s="36"/>
      <c r="K69" s="37" t="n">
        <f aca="false">COUNTIF($E$53:$E$76,"&lt;=54")</f>
        <v>0</v>
      </c>
      <c r="L69" s="38" t="n">
        <f aca="false">COUNTIF($E$53:$E$76,"&lt;=58")-K69</f>
        <v>1</v>
      </c>
      <c r="M69" s="34" t="n">
        <f aca="false">COUNTIF($E$53:$E$76,"&lt;=62")-L69-K69</f>
        <v>4</v>
      </c>
      <c r="N69" s="39" t="n">
        <f aca="false">COUNTIF($E$53:$E$76,"&lt;=67")-M69-L69-K69</f>
        <v>5</v>
      </c>
      <c r="O69" s="6" t="n">
        <f aca="false">COUNTIF($E$53:$E$76,"&lt;=71")-N69-M69-L69-K69</f>
        <v>6</v>
      </c>
      <c r="P69" s="7" t="n">
        <f aca="false">COUNTIF($E$53:$E$76,"&lt;=75")-O69-N69-M69-L69-K69</f>
        <v>7</v>
      </c>
      <c r="Q69" s="40" t="n">
        <f aca="false">COUNTIF($E$53:$E$76,"&lt;=79")-P69-O69-N69-M69-L69-K69</f>
        <v>1</v>
      </c>
      <c r="R69" s="41" t="n">
        <f aca="false">COUNTIF($E$53:$E$76,"&lt;=84")-Q69-P69-O69-N69-M69-L69-K69</f>
        <v>0</v>
      </c>
      <c r="S69" s="0" t="n">
        <f aca="false">SUM(K69:R69)</f>
        <v>24</v>
      </c>
      <c r="T69" s="19" t="n">
        <f aca="false">J51</f>
        <v>24</v>
      </c>
      <c r="U69" s="0" t="n">
        <f aca="false">G69</f>
        <v>4</v>
      </c>
      <c r="V69" s="0" t="n">
        <f aca="false">($K$63*K69+$L$63*L69+$M$63*M69+$N$63*N69+$O$63*O69+$P$63*P69+$Q$63*Q69+$R$63*R69)/S69</f>
        <v>66.78125</v>
      </c>
      <c r="Y69" s="0" t="n">
        <v>3</v>
      </c>
      <c r="Z69" s="18" t="n">
        <f aca="false">J80</f>
        <v>163.5</v>
      </c>
      <c r="AA69" s="0" t="n">
        <f aca="false">V68</f>
        <v>60.1875</v>
      </c>
      <c r="AB69" s="0" t="n">
        <f aca="false">Z69*Z69</f>
        <v>26732.25</v>
      </c>
      <c r="AC69" s="0" t="n">
        <f aca="false">Z69*AA69</f>
        <v>9840.65625</v>
      </c>
      <c r="AD69" s="0" t="n">
        <f aca="false">AA69*AA69</f>
        <v>3622.53515625</v>
      </c>
    </row>
    <row r="70" customFormat="false" ht="12.75" hidden="false" customHeight="false" outlineLevel="0" collapsed="false">
      <c r="A70" s="0" t="n">
        <v>2</v>
      </c>
      <c r="B70" s="0" t="n">
        <v>171</v>
      </c>
      <c r="C70" s="0" t="n">
        <v>64</v>
      </c>
      <c r="D70" s="0" t="n">
        <v>172</v>
      </c>
      <c r="E70" s="1" t="n">
        <v>70</v>
      </c>
      <c r="G70" s="9" t="n">
        <f aca="false">G11</f>
        <v>5</v>
      </c>
      <c r="H70" s="12" t="n">
        <f aca="false">H11</f>
        <v>168</v>
      </c>
      <c r="I70" s="12" t="n">
        <f aca="false">I11</f>
        <v>171</v>
      </c>
      <c r="J70" s="36"/>
      <c r="K70" s="37" t="n">
        <f aca="false">COUNTIF($E$77:$E$92,"&lt;=54")</f>
        <v>0</v>
      </c>
      <c r="L70" s="38" t="n">
        <f aca="false">COUNTIF($E$77:$E$92,"&lt;=58")-K70</f>
        <v>0</v>
      </c>
      <c r="M70" s="34" t="n">
        <f aca="false">COUNTIF($E$77:$E$92,"&lt;=62")-L70-K70</f>
        <v>1</v>
      </c>
      <c r="N70" s="39" t="n">
        <f aca="false">COUNTIF($E$77:$E$92,"&lt;=67")-M70-L70-K70</f>
        <v>5</v>
      </c>
      <c r="O70" s="6" t="n">
        <f aca="false">COUNTIF($E$77:$E$92,"&lt;=71")-N70-M70-L70-K70</f>
        <v>5</v>
      </c>
      <c r="P70" s="7" t="n">
        <f aca="false">COUNTIF($E$77:$E$92,"&lt;=75")-O70-N70-M70-L70-K70</f>
        <v>4</v>
      </c>
      <c r="Q70" s="40" t="n">
        <f aca="false">COUNTIF($E$77:$E$92,"&lt;=79")-P70-O70-N70-M70-L70-K70</f>
        <v>1</v>
      </c>
      <c r="R70" s="41" t="n">
        <f aca="false">COUNTIF($E$77:$E$92,"&lt;=84")-Q70-P70-O70-N70-M70-L70-K70</f>
        <v>0</v>
      </c>
      <c r="S70" s="0" t="n">
        <f aca="false">SUM(K70:R70)</f>
        <v>16</v>
      </c>
      <c r="T70" s="19" t="n">
        <f aca="false">J52</f>
        <v>19</v>
      </c>
      <c r="U70" s="0" t="n">
        <f aca="false">G70</f>
        <v>5</v>
      </c>
      <c r="V70" s="0" t="n">
        <f aca="false">($K$63*K70+$L$63*L70+$M$63*M70+$N$63*N70+$O$63*O70+$P$63*P70+$Q$63*Q70+$R$63*R70)/S70</f>
        <v>67.640625</v>
      </c>
      <c r="Y70" s="0" t="n">
        <v>4</v>
      </c>
      <c r="Z70" s="18" t="n">
        <f aca="false">J81</f>
        <v>166.5</v>
      </c>
      <c r="AA70" s="0" t="n">
        <f aca="false">V69</f>
        <v>66.78125</v>
      </c>
      <c r="AB70" s="0" t="n">
        <f aca="false">Z70*Z70</f>
        <v>27722.25</v>
      </c>
      <c r="AC70" s="0" t="n">
        <f aca="false">Z70*AA70</f>
        <v>11119.078125</v>
      </c>
      <c r="AD70" s="0" t="n">
        <f aca="false">AA70*AA70</f>
        <v>4459.7353515625</v>
      </c>
      <c r="AE70" s="0" t="n">
        <f aca="false" t="array" ref="AE70:AF71">MINVERSE(AE67:AF68)</f>
        <v>598.333333333333</v>
      </c>
      <c r="AF70" s="0" t="n">
        <v>-3.55555555555556</v>
      </c>
    </row>
    <row r="71" customFormat="false" ht="12.75" hidden="false" customHeight="false" outlineLevel="0" collapsed="false">
      <c r="A71" s="0" t="n">
        <v>3</v>
      </c>
      <c r="B71" s="0" t="n">
        <v>161</v>
      </c>
      <c r="C71" s="0" t="n">
        <v>51</v>
      </c>
      <c r="D71" s="0" t="n">
        <v>172</v>
      </c>
      <c r="E71" s="1" t="n">
        <v>70</v>
      </c>
      <c r="G71" s="9" t="n">
        <f aca="false">G12</f>
        <v>6</v>
      </c>
      <c r="H71" s="12" t="n">
        <f aca="false">H12</f>
        <v>171</v>
      </c>
      <c r="I71" s="12" t="n">
        <f aca="false">I12</f>
        <v>174</v>
      </c>
      <c r="J71" s="36"/>
      <c r="K71" s="37" t="n">
        <f aca="false">COUNTIF($E$93:$E$97,"&lt;=54")</f>
        <v>0</v>
      </c>
      <c r="L71" s="38" t="n">
        <f aca="false">COUNTIF($E$93:$E$97,"&lt;=58")-K71</f>
        <v>0</v>
      </c>
      <c r="M71" s="34" t="n">
        <f aca="false">COUNTIF($E$93:$E$97,"&lt;=62")-L71-K71</f>
        <v>1</v>
      </c>
      <c r="N71" s="39" t="n">
        <f aca="false">COUNTIF($E$93:$E$97,"&lt;=67")-M71-L71-K71</f>
        <v>0</v>
      </c>
      <c r="O71" s="6" t="n">
        <f aca="false">COUNTIF($E$93:$E$97,"&lt;=71")-N71-M71-L71-K71</f>
        <v>2</v>
      </c>
      <c r="P71" s="7" t="n">
        <f aca="false">COUNTIF($E$93:$E$97,"&lt;=75")-O71-N71-M71-L71-K71</f>
        <v>0</v>
      </c>
      <c r="Q71" s="40" t="n">
        <f aca="false">COUNTIF($E$93:$E$97,"&lt;=79")-P71-O71-N71-M71-L71-K71</f>
        <v>1</v>
      </c>
      <c r="R71" s="41" t="n">
        <f aca="false">COUNTIF($E$93:$E$97,"&lt;=84")-Q71-P71-O71-N71-M71-L71-K71</f>
        <v>1</v>
      </c>
      <c r="S71" s="0" t="n">
        <f aca="false">SUM(K71:R71)</f>
        <v>5</v>
      </c>
      <c r="T71" s="19" t="n">
        <f aca="false">J53</f>
        <v>20</v>
      </c>
      <c r="U71" s="0" t="n">
        <f aca="false">G71</f>
        <v>6</v>
      </c>
      <c r="V71" s="0" t="n">
        <f aca="false">($K$63*K71+$L$63*L71+$M$63*M71+$N$63*N71+$O$63*O71+$P$63*P71+$Q$63*Q71+$R$63*R71)/S71</f>
        <v>70.125</v>
      </c>
      <c r="Y71" s="0" t="n">
        <v>5</v>
      </c>
      <c r="Z71" s="18" t="n">
        <f aca="false">J82</f>
        <v>169.5</v>
      </c>
      <c r="AA71" s="0" t="n">
        <f aca="false">V70</f>
        <v>67.640625</v>
      </c>
      <c r="AB71" s="0" t="n">
        <f aca="false">Z71*Z71</f>
        <v>28730.25</v>
      </c>
      <c r="AC71" s="0" t="n">
        <f aca="false">Z71*AA71</f>
        <v>11465.0859375</v>
      </c>
      <c r="AD71" s="0" t="n">
        <f aca="false">AA71*AA71</f>
        <v>4575.25415039063</v>
      </c>
      <c r="AE71" s="0" t="n">
        <v>-3.55555555555556</v>
      </c>
      <c r="AF71" s="0" t="n">
        <v>0.0211640211640212</v>
      </c>
    </row>
    <row r="72" customFormat="false" ht="12.75" hidden="false" customHeight="false" outlineLevel="0" collapsed="false">
      <c r="A72" s="0" t="n">
        <v>4</v>
      </c>
      <c r="B72" s="0" t="n">
        <v>162</v>
      </c>
      <c r="C72" s="0" t="n">
        <v>65</v>
      </c>
      <c r="D72" s="0" t="n">
        <v>172</v>
      </c>
      <c r="E72" s="1" t="n">
        <v>69</v>
      </c>
      <c r="G72" s="9" t="n">
        <f aca="false">G13</f>
        <v>7</v>
      </c>
      <c r="H72" s="12" t="n">
        <f aca="false">H13</f>
        <v>174</v>
      </c>
      <c r="I72" s="12" t="n">
        <f aca="false">I13</f>
        <v>177</v>
      </c>
      <c r="J72" s="36"/>
      <c r="K72" s="37" t="n">
        <f aca="false">COUNTIF($E$98:$E$100,"&lt;=54")</f>
        <v>0</v>
      </c>
      <c r="L72" s="38" t="n">
        <f aca="false">COUNTIF($E$98:$E$100,"&lt;=58")-K72</f>
        <v>0</v>
      </c>
      <c r="M72" s="34" t="n">
        <f aca="false">COUNTIF($E$98:$E$100,"&lt;=62")-L72-K72</f>
        <v>0</v>
      </c>
      <c r="N72" s="39" t="n">
        <f aca="false">COUNTIF($E$98:$E$100,"&lt;=67")-M72-L72-K72</f>
        <v>1</v>
      </c>
      <c r="O72" s="6" t="n">
        <f aca="false">COUNTIF($E$98:$E$100,"&lt;=71")-N72-M72-L72-K72</f>
        <v>2</v>
      </c>
      <c r="P72" s="7" t="n">
        <f aca="false">COUNTIF($E$98:$E$100,"&lt;=75")-O72-N72-M72-L72-K72</f>
        <v>0</v>
      </c>
      <c r="Q72" s="40" t="n">
        <f aca="false">COUNTIF($E$98:$E$100,"&lt;=79")-P72-O72-N72-M72-L72-K72</f>
        <v>0</v>
      </c>
      <c r="R72" s="41" t="n">
        <f aca="false">COUNTIF($E$98:$E$100,"&lt;=84")-Q72-P72-O72-N72-M72-L72-K72</f>
        <v>0</v>
      </c>
      <c r="S72" s="0" t="n">
        <f aca="false">SUM(K72:R72)</f>
        <v>3</v>
      </c>
      <c r="T72" s="19" t="n">
        <f aca="false">J54</f>
        <v>8</v>
      </c>
      <c r="U72" s="0" t="n">
        <f aca="false">G72</f>
        <v>7</v>
      </c>
      <c r="V72" s="0" t="n">
        <f aca="false">($K$63*K72+$L$63*L72+$M$63*M72+$N$63*N72+$O$63*O72+$P$63*P72+$Q$63*Q72+$R$63*R72)/S72</f>
        <v>66.625</v>
      </c>
      <c r="Y72" s="0" t="n">
        <v>6</v>
      </c>
      <c r="Z72" s="18" t="n">
        <f aca="false">J83</f>
        <v>172.5</v>
      </c>
      <c r="AA72" s="0" t="n">
        <f aca="false">V71</f>
        <v>70.125</v>
      </c>
      <c r="AB72" s="0" t="n">
        <f aca="false">Z72*Z72</f>
        <v>29756.25</v>
      </c>
      <c r="AC72" s="0" t="n">
        <f aca="false">Z72*AA72</f>
        <v>12096.5625</v>
      </c>
      <c r="AD72" s="0" t="n">
        <f aca="false">AA72*AA72</f>
        <v>4917.515625</v>
      </c>
    </row>
    <row r="73" customFormat="false" ht="12.75" hidden="false" customHeight="false" outlineLevel="0" collapsed="false">
      <c r="A73" s="0" t="n">
        <v>5</v>
      </c>
      <c r="B73" s="0" t="n">
        <v>167</v>
      </c>
      <c r="C73" s="0" t="n">
        <v>63</v>
      </c>
      <c r="D73" s="0" t="n">
        <v>172</v>
      </c>
      <c r="E73" s="1" t="n">
        <v>74</v>
      </c>
      <c r="G73" s="9" t="n">
        <f aca="false">G14</f>
        <v>8</v>
      </c>
      <c r="H73" s="12" t="n">
        <f aca="false">H14</f>
        <v>177</v>
      </c>
      <c r="I73" s="12" t="n">
        <f aca="false">I14</f>
        <v>180</v>
      </c>
      <c r="J73" s="36"/>
      <c r="K73" s="37" t="n">
        <v>0</v>
      </c>
      <c r="L73" s="38" t="n">
        <v>0</v>
      </c>
      <c r="M73" s="34" t="n">
        <v>0</v>
      </c>
      <c r="N73" s="39" t="n">
        <v>0</v>
      </c>
      <c r="O73" s="6" t="n">
        <v>0</v>
      </c>
      <c r="P73" s="7" t="n">
        <v>0</v>
      </c>
      <c r="Q73" s="40" t="n">
        <v>0</v>
      </c>
      <c r="R73" s="41" t="n">
        <f aca="false">COUNTIF(E101,"&lt;=84")-Q73-P73-O73-N73-M73-L73-K73</f>
        <v>1</v>
      </c>
      <c r="S73" s="0" t="n">
        <f aca="false">SUM(K73:R73)</f>
        <v>1</v>
      </c>
      <c r="T73" s="19" t="n">
        <f aca="false">J55</f>
        <v>5</v>
      </c>
      <c r="U73" s="0" t="n">
        <f aca="false">G73</f>
        <v>8</v>
      </c>
      <c r="V73" s="0" t="n">
        <f aca="false">($K$63*K73+$L$63*L73+$M$63*M73+$N$63*N73+$O$63*O73+$P$63*P73+$Q$63*Q73+$R$63*R73)/S73</f>
        <v>79.125</v>
      </c>
      <c r="Y73" s="0" t="n">
        <v>7</v>
      </c>
      <c r="Z73" s="18" t="n">
        <f aca="false">J84</f>
        <v>175.5</v>
      </c>
      <c r="AA73" s="0" t="n">
        <f aca="false">V72</f>
        <v>66.625</v>
      </c>
      <c r="AB73" s="0" t="n">
        <f aca="false">Z73*Z73</f>
        <v>30800.25</v>
      </c>
      <c r="AC73" s="0" t="n">
        <f aca="false">Z73*AA73</f>
        <v>11692.6875</v>
      </c>
      <c r="AD73" s="0" t="n">
        <f aca="false">AA73*AA73</f>
        <v>4438.890625</v>
      </c>
    </row>
    <row r="74" customFormat="false" ht="12.75" hidden="false" customHeight="false" outlineLevel="0" collapsed="false">
      <c r="A74" s="0" t="n">
        <v>6</v>
      </c>
      <c r="B74" s="0" t="n">
        <v>174</v>
      </c>
      <c r="C74" s="0" t="n">
        <v>68</v>
      </c>
      <c r="D74" s="0" t="n">
        <v>172</v>
      </c>
      <c r="E74" s="1" t="n">
        <v>69</v>
      </c>
      <c r="K74" s="0" t="n">
        <f aca="false">SUM(K66:K73)</f>
        <v>8</v>
      </c>
      <c r="L74" s="0" t="n">
        <f aca="false">SUM(L66:L73)</f>
        <v>11</v>
      </c>
      <c r="M74" s="0" t="n">
        <f aca="false">SUM(M66:M73)</f>
        <v>20</v>
      </c>
      <c r="N74" s="0" t="n">
        <f aca="false">SUM(N66:N73)</f>
        <v>25</v>
      </c>
      <c r="O74" s="0" t="n">
        <f aca="false">SUM(O66:O73)</f>
        <v>19</v>
      </c>
      <c r="P74" s="0" t="n">
        <f aca="false">SUM(P66:P73)</f>
        <v>12</v>
      </c>
      <c r="Q74" s="0" t="n">
        <f aca="false">SUM(Q66:Q73)</f>
        <v>3</v>
      </c>
      <c r="R74" s="0" t="n">
        <f aca="false">SUM(R66:R73)</f>
        <v>2</v>
      </c>
      <c r="S74" s="0" t="n">
        <f aca="false">SUM(K71:R71)</f>
        <v>5</v>
      </c>
      <c r="T74" s="0" t="n">
        <f aca="false">SUM(T66:T73)</f>
        <v>100</v>
      </c>
      <c r="Y74" s="0" t="n">
        <v>8</v>
      </c>
      <c r="Z74" s="18" t="n">
        <f aca="false">J85</f>
        <v>178.5</v>
      </c>
      <c r="AA74" s="0" t="n">
        <f aca="false">V73</f>
        <v>79.125</v>
      </c>
      <c r="AB74" s="0" t="n">
        <f aca="false">Z74*Z74</f>
        <v>31862.25</v>
      </c>
      <c r="AC74" s="0" t="n">
        <f aca="false">Z74*AA74</f>
        <v>14123.8125</v>
      </c>
      <c r="AD74" s="0" t="n">
        <f aca="false">AA74*AA74</f>
        <v>6260.765625</v>
      </c>
      <c r="AF74" s="16" t="s">
        <v>131</v>
      </c>
      <c r="AG74" s="0" t="n">
        <f aca="false">AC76-AA76*Z76</f>
        <v>38.155095880682</v>
      </c>
      <c r="AH74" s="0" t="s">
        <v>132</v>
      </c>
      <c r="AI74" s="0" t="n">
        <f aca="false">(AB76-Z76*Z76)^0.5</f>
        <v>6.87386354243376</v>
      </c>
    </row>
    <row r="75" customFormat="false" ht="12.75" hidden="false" customHeight="false" outlineLevel="0" collapsed="false">
      <c r="A75" s="0" t="n">
        <v>7</v>
      </c>
      <c r="B75" s="0" t="n">
        <v>167</v>
      </c>
      <c r="C75" s="0" t="n">
        <v>65</v>
      </c>
      <c r="D75" s="0" t="n">
        <v>172</v>
      </c>
      <c r="E75" s="1" t="n">
        <v>73</v>
      </c>
      <c r="K75" s="42" t="n">
        <f aca="false">COUNTIF($C$2:$C$101,"&lt;=54,36")</f>
        <v>6</v>
      </c>
      <c r="L75" s="42" t="n">
        <f aca="false">COUNTIF($C$2:$C$101,"&lt;=58,5")-COUNTIF($C$2:$C$101,"&lt;=54,25")</f>
        <v>15</v>
      </c>
      <c r="M75" s="42" t="n">
        <f aca="false">COUNTIF($C$2:$C$101,"&lt;=62,75")-COUNTIF($C$2:$C$101,"&lt;=58,5")</f>
        <v>17</v>
      </c>
      <c r="N75" s="42" t="n">
        <f aca="false">COUNTIF($C$2:$C$101,"&lt;=67")-COUNTIF($C$2:$C$101,"&lt;=62,75")</f>
        <v>30</v>
      </c>
      <c r="O75" s="42" t="n">
        <f aca="false">COUNTIF($C$2:$C$101,"&lt;=71,25")-COUNTIF($C$2:$C$101,"&lt;=67")</f>
        <v>20</v>
      </c>
      <c r="P75" s="42" t="n">
        <f aca="false">COUNTIF($C$2:$C$101,"&lt;=75,5")-COUNTIF($C$2:$C$101,"&lt;=71,25")</f>
        <v>4</v>
      </c>
      <c r="Q75" s="42" t="n">
        <f aca="false">COUNTIF($C$2:$C$101,"&lt;=79,75")-COUNTIF($C$2:$C$101,"&lt;=75,5")</f>
        <v>5</v>
      </c>
      <c r="R75" s="42" t="n">
        <f aca="false">COUNTIF($C$2:$C$101,"&lt;=84")-COUNTIF($C$2:$C$101,"&lt;=79,75")</f>
        <v>3</v>
      </c>
      <c r="S75" s="0" t="n">
        <f aca="false">SUM(K72:R72)</f>
        <v>3</v>
      </c>
      <c r="Y75" s="0" t="s">
        <v>133</v>
      </c>
      <c r="Z75" s="18" t="n">
        <f aca="false">SUM(Z67:Z74)</f>
        <v>1344</v>
      </c>
      <c r="AA75" s="18" t="n">
        <f aca="false">SUM(AA67:AA74)</f>
        <v>530.003314393939</v>
      </c>
      <c r="AB75" s="18" t="n">
        <f aca="false">SUM(AB67:AB74)</f>
        <v>226170</v>
      </c>
      <c r="AC75" s="18" t="n">
        <f aca="false">SUM(AC67:AC74)</f>
        <v>89345.7975852273</v>
      </c>
      <c r="AD75" s="18" t="n">
        <f aca="false">SUM(AD67:AD74)</f>
        <v>35421.3938616007</v>
      </c>
      <c r="AH75" s="0" t="s">
        <v>134</v>
      </c>
      <c r="AI75" s="0" t="n">
        <f aca="false">(AD76-AA76*AA76)^0.5</f>
        <v>6.20941526062056</v>
      </c>
    </row>
    <row r="76" customFormat="false" ht="12.75" hidden="false" customHeight="false" outlineLevel="0" collapsed="false">
      <c r="A76" s="0" t="n">
        <v>8</v>
      </c>
      <c r="B76" s="0" t="n">
        <v>169</v>
      </c>
      <c r="C76" s="0" t="n">
        <v>61</v>
      </c>
      <c r="D76" s="0" t="n">
        <v>172</v>
      </c>
      <c r="E76" s="1" t="n">
        <v>69</v>
      </c>
      <c r="S76" s="0" t="n">
        <f aca="false">SUM(K73:R73)</f>
        <v>1</v>
      </c>
      <c r="Y76" s="0" t="s">
        <v>135</v>
      </c>
      <c r="Z76" s="0" t="n">
        <f aca="false">Z75/$Y$74</f>
        <v>168</v>
      </c>
      <c r="AA76" s="0" t="n">
        <f aca="false">AA75/$Y$74</f>
        <v>66.2504142992424</v>
      </c>
      <c r="AB76" s="0" t="n">
        <f aca="false">AB75/$Y$74</f>
        <v>28271.25</v>
      </c>
      <c r="AC76" s="0" t="n">
        <f aca="false">AC75/$Y$74</f>
        <v>11168.2246981534</v>
      </c>
      <c r="AD76" s="0" t="n">
        <f aca="false">AD75/$Y$74</f>
        <v>4427.67423270009</v>
      </c>
      <c r="AE76" s="0" t="n">
        <f aca="false" t="array" ref="AE76:AE77">MMULT(AE70:AF71,AG67:AG68)</f>
        <v>-69.4121488320598</v>
      </c>
      <c r="AF76" s="59" t="s">
        <v>129</v>
      </c>
      <c r="AG76" s="0" t="n">
        <f aca="false">INDEX(LINEST(AA67:AA74,Z67:Z74,1,0),1,2)</f>
        <v>-69.4121488320707</v>
      </c>
      <c r="AH76" s="0" t="s">
        <v>136</v>
      </c>
      <c r="AI76" s="0" t="n">
        <f aca="false">AG74/(AI74*AI75)</f>
        <v>0.893924701481185</v>
      </c>
    </row>
    <row r="77" customFormat="false" ht="12.75" hidden="false" customHeight="false" outlineLevel="0" collapsed="false">
      <c r="A77" s="0" t="n">
        <v>9</v>
      </c>
      <c r="B77" s="0" t="n">
        <v>176</v>
      </c>
      <c r="C77" s="0" t="n">
        <v>70</v>
      </c>
      <c r="D77" s="0" t="n">
        <v>173</v>
      </c>
      <c r="E77" s="1" t="n">
        <v>70</v>
      </c>
      <c r="F77" s="2" t="s">
        <v>82</v>
      </c>
      <c r="J77" s="43"/>
      <c r="K77" s="44" t="n">
        <f aca="false">(J65+K65)/2</f>
        <v>52.875</v>
      </c>
      <c r="L77" s="44" t="n">
        <f aca="false">(K65+L65)/2</f>
        <v>56.625</v>
      </c>
      <c r="M77" s="44" t="n">
        <f aca="false">(L65+M65)/2</f>
        <v>60.375</v>
      </c>
      <c r="N77" s="44" t="n">
        <f aca="false">(M65+N65)/2</f>
        <v>64.125</v>
      </c>
      <c r="O77" s="44" t="n">
        <f aca="false">(N65+O65)/2</f>
        <v>67.875</v>
      </c>
      <c r="P77" s="44" t="n">
        <f aca="false">(O65+P65)/2</f>
        <v>71.625</v>
      </c>
      <c r="Q77" s="44" t="n">
        <f aca="false">(P65+Q65)/2</f>
        <v>75.375</v>
      </c>
      <c r="R77" s="44" t="n">
        <f aca="false">(Q65+R65)/2</f>
        <v>79.125</v>
      </c>
      <c r="T77" s="0" t="n">
        <f aca="false">SUM(K74:R74)</f>
        <v>100</v>
      </c>
      <c r="AE77" s="0" t="n">
        <v>0.807515256733979</v>
      </c>
      <c r="AF77" s="59" t="s">
        <v>130</v>
      </c>
      <c r="AG77" s="0" t="n">
        <f aca="false">LINEST(AA67:AA74,Z67:Z74,1,0)</f>
        <v>0.807515256734007</v>
      </c>
    </row>
    <row r="78" customFormat="false" ht="57.75" hidden="false" customHeight="true" outlineLevel="0" collapsed="false">
      <c r="A78" s="0" t="n">
        <v>10</v>
      </c>
      <c r="B78" s="0" t="n">
        <v>170</v>
      </c>
      <c r="C78" s="0" t="n">
        <v>67</v>
      </c>
      <c r="D78" s="0" t="n">
        <v>173</v>
      </c>
      <c r="E78" s="1" t="n">
        <v>75</v>
      </c>
      <c r="I78" s="0" t="n">
        <v>1</v>
      </c>
      <c r="J78" s="45" t="n">
        <f aca="false">(H66+I66)/2</f>
        <v>157.5</v>
      </c>
      <c r="K78" s="0" t="n">
        <f aca="false">K66/$T$78</f>
        <v>0.03</v>
      </c>
      <c r="L78" s="0" t="n">
        <f aca="false">L66/$T$78</f>
        <v>0.02</v>
      </c>
      <c r="M78" s="0" t="n">
        <f aca="false">M66/$T$78</f>
        <v>0.02</v>
      </c>
      <c r="N78" s="0" t="n">
        <f aca="false">N66/$T$78</f>
        <v>0.01</v>
      </c>
      <c r="O78" s="0" t="n">
        <f aca="false">O66/$T$78</f>
        <v>0.01</v>
      </c>
      <c r="P78" s="0" t="n">
        <f aca="false">P66/$T$78</f>
        <v>0</v>
      </c>
      <c r="Q78" s="0" t="n">
        <f aca="false">Q66/$T$78</f>
        <v>0</v>
      </c>
      <c r="R78" s="0" t="n">
        <f aca="false">R66/$T$78</f>
        <v>0</v>
      </c>
      <c r="S78" s="1" t="n">
        <f aca="false">SUM(K78:R78)</f>
        <v>0.09</v>
      </c>
      <c r="T78" s="0" t="n">
        <f aca="false">SUM(K75:R75)</f>
        <v>100</v>
      </c>
      <c r="AI78" s="60" t="s">
        <v>137</v>
      </c>
    </row>
    <row r="79" customFormat="false" ht="12.75" hidden="false" customHeight="false" outlineLevel="0" collapsed="false">
      <c r="A79" s="0" t="n">
        <v>11</v>
      </c>
      <c r="B79" s="0" t="n">
        <v>168</v>
      </c>
      <c r="C79" s="0" t="n">
        <v>65</v>
      </c>
      <c r="D79" s="0" t="n">
        <v>173</v>
      </c>
      <c r="E79" s="1" t="n">
        <v>69</v>
      </c>
      <c r="I79" s="0" t="n">
        <v>2</v>
      </c>
      <c r="J79" s="45" t="n">
        <f aca="false">(H67+I67)/2</f>
        <v>160.5</v>
      </c>
      <c r="K79" s="0" t="n">
        <f aca="false">K67/$T$78</f>
        <v>0.02</v>
      </c>
      <c r="L79" s="0" t="n">
        <f aca="false">L67/$T$78</f>
        <v>0.03</v>
      </c>
      <c r="M79" s="0" t="n">
        <f aca="false">M67/$T$78</f>
        <v>0.09</v>
      </c>
      <c r="N79" s="0" t="n">
        <f aca="false">N67/$T$78</f>
        <v>0.05</v>
      </c>
      <c r="O79" s="0" t="n">
        <f aca="false">O67/$T$78</f>
        <v>0.02</v>
      </c>
      <c r="P79" s="0" t="n">
        <f aca="false">P67/$T$78</f>
        <v>0.01</v>
      </c>
      <c r="Q79" s="0" t="n">
        <f aca="false">Q67/$T$78</f>
        <v>0</v>
      </c>
      <c r="R79" s="0" t="n">
        <f aca="false">R67/$T$78</f>
        <v>0</v>
      </c>
      <c r="S79" s="1" t="n">
        <f aca="false">SUM(K79:R79)</f>
        <v>0.22</v>
      </c>
    </row>
    <row r="80" customFormat="false" ht="12.75" hidden="false" customHeight="false" outlineLevel="0" collapsed="false">
      <c r="A80" s="0" t="n">
        <v>12</v>
      </c>
      <c r="B80" s="0" t="n">
        <v>172</v>
      </c>
      <c r="C80" s="0" t="n">
        <v>59</v>
      </c>
      <c r="D80" s="0" t="n">
        <v>173</v>
      </c>
      <c r="E80" s="1" t="n">
        <v>74</v>
      </c>
      <c r="I80" s="0" t="n">
        <v>3</v>
      </c>
      <c r="J80" s="45" t="n">
        <f aca="false">(H68+I68)/2</f>
        <v>163.5</v>
      </c>
      <c r="K80" s="0" t="n">
        <f aca="false">K68/$T$78</f>
        <v>0.03</v>
      </c>
      <c r="L80" s="0" t="n">
        <f aca="false">L68/$T$78</f>
        <v>0.05</v>
      </c>
      <c r="M80" s="0" t="n">
        <f aca="false">M68/$T$78</f>
        <v>0.03</v>
      </c>
      <c r="N80" s="0" t="n">
        <f aca="false">N68/$T$78</f>
        <v>0.08</v>
      </c>
      <c r="O80" s="0" t="n">
        <f aca="false">O68/$T$78</f>
        <v>0.01</v>
      </c>
      <c r="P80" s="0" t="n">
        <f aca="false">P68/$T$78</f>
        <v>0</v>
      </c>
      <c r="Q80" s="0" t="n">
        <f aca="false">Q68/$T$78</f>
        <v>0</v>
      </c>
      <c r="R80" s="0" t="n">
        <f aca="false">R68/$T$78</f>
        <v>0</v>
      </c>
      <c r="S80" s="1" t="n">
        <f aca="false">SUM(K80:R80)</f>
        <v>0.2</v>
      </c>
    </row>
    <row r="81" customFormat="false" ht="12.75" hidden="false" customHeight="false" outlineLevel="0" collapsed="false">
      <c r="A81" s="0" t="n">
        <v>13</v>
      </c>
      <c r="B81" s="0" t="n">
        <v>164</v>
      </c>
      <c r="C81" s="0" t="n">
        <v>60</v>
      </c>
      <c r="D81" s="0" t="n">
        <v>173</v>
      </c>
      <c r="E81" s="1" t="n">
        <v>72</v>
      </c>
      <c r="I81" s="0" t="n">
        <v>4</v>
      </c>
      <c r="J81" s="45" t="n">
        <f aca="false">(H69+I69)/2</f>
        <v>166.5</v>
      </c>
      <c r="K81" s="0" t="n">
        <f aca="false">K69/$T$78</f>
        <v>0</v>
      </c>
      <c r="L81" s="0" t="n">
        <f aca="false">L69/$T$78</f>
        <v>0.01</v>
      </c>
      <c r="M81" s="0" t="n">
        <f aca="false">M69/$T$78</f>
        <v>0.04</v>
      </c>
      <c r="N81" s="0" t="n">
        <f aca="false">N69/$T$78</f>
        <v>0.05</v>
      </c>
      <c r="O81" s="0" t="n">
        <f aca="false">O69/$T$78</f>
        <v>0.06</v>
      </c>
      <c r="P81" s="0" t="n">
        <f aca="false">P69/$T$78</f>
        <v>0.07</v>
      </c>
      <c r="Q81" s="0" t="n">
        <f aca="false">Q69/$T$78</f>
        <v>0.01</v>
      </c>
      <c r="R81" s="0" t="n">
        <f aca="false">R69/$T$78</f>
        <v>0</v>
      </c>
      <c r="S81" s="1" t="n">
        <f aca="false">SUM(K81:R81)</f>
        <v>0.24</v>
      </c>
    </row>
    <row r="82" customFormat="false" ht="12.75" hidden="false" customHeight="false" outlineLevel="0" collapsed="false">
      <c r="A82" s="0" t="n">
        <v>14</v>
      </c>
      <c r="B82" s="0" t="n">
        <v>178</v>
      </c>
      <c r="C82" s="0" t="n">
        <v>80</v>
      </c>
      <c r="D82" s="0" t="n">
        <v>173</v>
      </c>
      <c r="E82" s="1" t="n">
        <v>69</v>
      </c>
      <c r="I82" s="0" t="n">
        <v>5</v>
      </c>
      <c r="J82" s="45" t="n">
        <f aca="false">(H70+I70)/2</f>
        <v>169.5</v>
      </c>
      <c r="K82" s="0" t="n">
        <f aca="false">K70/$T$78</f>
        <v>0</v>
      </c>
      <c r="L82" s="0" t="n">
        <f aca="false">L70/$T$78</f>
        <v>0</v>
      </c>
      <c r="M82" s="0" t="n">
        <f aca="false">M70/$T$78</f>
        <v>0.01</v>
      </c>
      <c r="N82" s="0" t="n">
        <f aca="false">N70/$T$78</f>
        <v>0.05</v>
      </c>
      <c r="O82" s="0" t="n">
        <f aca="false">O70/$T$78</f>
        <v>0.05</v>
      </c>
      <c r="P82" s="0" t="n">
        <f aca="false">P70/$T$78</f>
        <v>0.04</v>
      </c>
      <c r="Q82" s="0" t="n">
        <f aca="false">Q70/$T$78</f>
        <v>0.01</v>
      </c>
      <c r="R82" s="0" t="n">
        <f aca="false">R70/$T$78</f>
        <v>0</v>
      </c>
      <c r="S82" s="1" t="n">
        <f aca="false">SUM(K82:R82)</f>
        <v>0.16</v>
      </c>
    </row>
    <row r="83" customFormat="false" ht="12.75" hidden="false" customHeight="false" outlineLevel="0" collapsed="false">
      <c r="A83" s="0" t="n">
        <v>15</v>
      </c>
      <c r="B83" s="0" t="n">
        <v>172</v>
      </c>
      <c r="C83" s="0" t="n">
        <v>73</v>
      </c>
      <c r="D83" s="0" t="n">
        <v>173</v>
      </c>
      <c r="E83" s="1" t="n">
        <v>77</v>
      </c>
      <c r="I83" s="0" t="n">
        <v>6</v>
      </c>
      <c r="J83" s="45" t="n">
        <f aca="false">(H71+I71)/2</f>
        <v>172.5</v>
      </c>
      <c r="K83" s="0" t="n">
        <f aca="false">K71/$T$78</f>
        <v>0</v>
      </c>
      <c r="L83" s="0" t="n">
        <f aca="false">L71/$T$78</f>
        <v>0</v>
      </c>
      <c r="M83" s="0" t="n">
        <f aca="false">M71/$T$78</f>
        <v>0.01</v>
      </c>
      <c r="N83" s="0" t="n">
        <f aca="false">N71/$T$78</f>
        <v>0</v>
      </c>
      <c r="O83" s="0" t="n">
        <f aca="false">O71/$T$78</f>
        <v>0.02</v>
      </c>
      <c r="P83" s="0" t="n">
        <f aca="false">P71/$T$78</f>
        <v>0</v>
      </c>
      <c r="Q83" s="0" t="n">
        <f aca="false">Q71/$T$78</f>
        <v>0.01</v>
      </c>
      <c r="R83" s="0" t="n">
        <f aca="false">R71/$T$78</f>
        <v>0.01</v>
      </c>
      <c r="S83" s="1" t="n">
        <f aca="false">SUM(K83:R83)</f>
        <v>0.05</v>
      </c>
    </row>
    <row r="84" customFormat="false" ht="12.75" hidden="false" customHeight="false" outlineLevel="0" collapsed="false">
      <c r="A84" s="0" t="n">
        <v>16</v>
      </c>
      <c r="B84" s="0" t="n">
        <v>171</v>
      </c>
      <c r="C84" s="0" t="n">
        <v>65</v>
      </c>
      <c r="D84" s="0" t="n">
        <v>173</v>
      </c>
      <c r="E84" s="1" t="n">
        <v>66</v>
      </c>
      <c r="I84" s="0" t="n">
        <v>7</v>
      </c>
      <c r="J84" s="45" t="n">
        <f aca="false">(H72+I72)/2</f>
        <v>175.5</v>
      </c>
      <c r="K84" s="0" t="n">
        <f aca="false">K72/$T$78</f>
        <v>0</v>
      </c>
      <c r="L84" s="0" t="n">
        <f aca="false">L72/$T$78</f>
        <v>0</v>
      </c>
      <c r="M84" s="0" t="n">
        <f aca="false">M72/$T$78</f>
        <v>0</v>
      </c>
      <c r="N84" s="0" t="n">
        <f aca="false">N72/$T$78</f>
        <v>0.01</v>
      </c>
      <c r="O84" s="0" t="n">
        <f aca="false">O72/$T$78</f>
        <v>0.02</v>
      </c>
      <c r="P84" s="0" t="n">
        <f aca="false">P72/$T$78</f>
        <v>0</v>
      </c>
      <c r="Q84" s="0" t="n">
        <f aca="false">Q72/$T$78</f>
        <v>0</v>
      </c>
      <c r="R84" s="0" t="n">
        <f aca="false">R72/$T$78</f>
        <v>0</v>
      </c>
      <c r="S84" s="1" t="n">
        <f aca="false">SUM(K84:R84)</f>
        <v>0.03</v>
      </c>
    </row>
    <row r="85" customFormat="false" ht="12.75" hidden="false" customHeight="false" outlineLevel="0" collapsed="false">
      <c r="A85" s="0" t="n">
        <v>17</v>
      </c>
      <c r="B85" s="0" t="n">
        <v>167</v>
      </c>
      <c r="C85" s="0" t="n">
        <v>52</v>
      </c>
      <c r="D85" s="0" t="n">
        <v>173</v>
      </c>
      <c r="E85" s="1" t="n">
        <v>69</v>
      </c>
      <c r="I85" s="0" t="n">
        <v>8</v>
      </c>
      <c r="J85" s="45" t="n">
        <f aca="false">(H73+I73)/2</f>
        <v>178.5</v>
      </c>
      <c r="K85" s="0" t="n">
        <f aca="false">K73/$T$78</f>
        <v>0</v>
      </c>
      <c r="L85" s="0" t="n">
        <f aca="false">L73/$T$78</f>
        <v>0</v>
      </c>
      <c r="M85" s="0" t="n">
        <f aca="false">M73/$T$78</f>
        <v>0</v>
      </c>
      <c r="N85" s="0" t="n">
        <f aca="false">N73/$T$78</f>
        <v>0</v>
      </c>
      <c r="O85" s="0" t="n">
        <f aca="false">O73/$T$78</f>
        <v>0</v>
      </c>
      <c r="P85" s="0" t="n">
        <f aca="false">P73/$T$78</f>
        <v>0</v>
      </c>
      <c r="Q85" s="0" t="n">
        <f aca="false">Q73/$T$78</f>
        <v>0</v>
      </c>
      <c r="R85" s="0" t="n">
        <f aca="false">R73/$T$78</f>
        <v>0.01</v>
      </c>
      <c r="S85" s="1" t="n">
        <f aca="false">SUM(K85:R85)</f>
        <v>0.01</v>
      </c>
    </row>
    <row r="86" customFormat="false" ht="12.75" hidden="false" customHeight="false" outlineLevel="0" collapsed="false">
      <c r="A86" s="0" t="n">
        <v>18</v>
      </c>
      <c r="B86" s="0" t="n">
        <v>170</v>
      </c>
      <c r="C86" s="0" t="n">
        <v>61</v>
      </c>
      <c r="D86" s="0" t="n">
        <v>174</v>
      </c>
      <c r="E86" s="1" t="n">
        <v>67</v>
      </c>
      <c r="F86" s="2" t="s">
        <v>83</v>
      </c>
      <c r="G86" s="2"/>
      <c r="J86" s="46"/>
      <c r="K86" s="47" t="n">
        <f aca="false">SUM(K78:K85)</f>
        <v>0.08</v>
      </c>
      <c r="L86" s="48" t="n">
        <f aca="false">SUM(L78:L85)</f>
        <v>0.11</v>
      </c>
      <c r="M86" s="48" t="n">
        <f aca="false">SUM(M78:M85)</f>
        <v>0.2</v>
      </c>
      <c r="N86" s="48" t="n">
        <f aca="false">SUM(N78:N85)</f>
        <v>0.25</v>
      </c>
      <c r="O86" s="48" t="n">
        <f aca="false">SUM(O78:O85)</f>
        <v>0.19</v>
      </c>
      <c r="P86" s="48" t="n">
        <f aca="false">SUM(P78:P85)</f>
        <v>0.12</v>
      </c>
      <c r="Q86" s="48" t="n">
        <f aca="false">SUM(Q78:Q85)</f>
        <v>0.03</v>
      </c>
      <c r="R86" s="48" t="n">
        <f aca="false">SUM(R78:R85)</f>
        <v>0.02</v>
      </c>
    </row>
    <row r="87" customFormat="false" ht="12.75" hidden="false" customHeight="false" outlineLevel="0" collapsed="false">
      <c r="A87" s="0" t="n">
        <v>19</v>
      </c>
      <c r="B87" s="0" t="n">
        <v>170</v>
      </c>
      <c r="C87" s="0" t="n">
        <v>63</v>
      </c>
      <c r="D87" s="0" t="n">
        <v>174</v>
      </c>
      <c r="E87" s="1" t="n">
        <v>74</v>
      </c>
    </row>
    <row r="88" customFormat="false" ht="12.75" hidden="false" customHeight="false" outlineLevel="0" collapsed="false">
      <c r="A88" s="0" t="n">
        <v>20</v>
      </c>
      <c r="B88" s="0" t="n">
        <v>167</v>
      </c>
      <c r="C88" s="0" t="n">
        <v>57</v>
      </c>
      <c r="D88" s="0" t="n">
        <v>174</v>
      </c>
      <c r="E88" s="1" t="n">
        <v>66</v>
      </c>
      <c r="J88" s="0" t="n">
        <v>1</v>
      </c>
      <c r="K88" s="5" t="n">
        <f aca="false">$J$78*K77*K78</f>
        <v>249.834375</v>
      </c>
      <c r="L88" s="5" t="n">
        <f aca="false">$J$78*L77*L78</f>
        <v>178.36875</v>
      </c>
      <c r="M88" s="5" t="n">
        <f aca="false">$J$78*M77*M78</f>
        <v>190.18125</v>
      </c>
      <c r="N88" s="5" t="n">
        <f aca="false">$J$78*N77*N78</f>
        <v>100.996875</v>
      </c>
      <c r="O88" s="5" t="n">
        <f aca="false">$J$78*O77*O78</f>
        <v>106.903125</v>
      </c>
      <c r="P88" s="5" t="n">
        <f aca="false">$J$78*P77*P78</f>
        <v>0</v>
      </c>
      <c r="Q88" s="5" t="n">
        <f aca="false">$J$78*Q77*Q78</f>
        <v>0</v>
      </c>
      <c r="R88" s="5" t="n">
        <f aca="false">$J$78*R77*R78</f>
        <v>0</v>
      </c>
      <c r="S88" s="12" t="n">
        <f aca="false">SUM(K88:R88)</f>
        <v>826.284375</v>
      </c>
    </row>
    <row r="89" customFormat="false" ht="12.75" hidden="false" customHeight="false" outlineLevel="0" collapsed="false">
      <c r="A89" s="0" t="n">
        <v>21</v>
      </c>
      <c r="B89" s="0" t="n">
        <v>171</v>
      </c>
      <c r="C89" s="0" t="n">
        <v>63</v>
      </c>
      <c r="D89" s="0" t="n">
        <v>175</v>
      </c>
      <c r="E89" s="1" t="n">
        <v>59</v>
      </c>
      <c r="J89" s="0" t="n">
        <v>2</v>
      </c>
      <c r="K89" s="5" t="n">
        <f aca="false">$J$79*K77*K79</f>
        <v>169.72875</v>
      </c>
      <c r="L89" s="5" t="n">
        <f aca="false">$J$79*L77*L79</f>
        <v>272.649375</v>
      </c>
      <c r="M89" s="5" t="n">
        <f aca="false">$J$79*M77*M79</f>
        <v>872.116875</v>
      </c>
      <c r="N89" s="5" t="n">
        <f aca="false">$J$79*N77*N79</f>
        <v>514.603125</v>
      </c>
      <c r="O89" s="5" t="n">
        <f aca="false">$J$79*O77*O79</f>
        <v>217.87875</v>
      </c>
      <c r="P89" s="5" t="n">
        <f aca="false">$J$79*P77*P79</f>
        <v>114.958125</v>
      </c>
      <c r="Q89" s="5" t="n">
        <f aca="false">$J$79*Q77*Q79</f>
        <v>0</v>
      </c>
      <c r="R89" s="5" t="n">
        <f aca="false">$J$79*R77*R79</f>
        <v>0</v>
      </c>
      <c r="S89" s="12" t="n">
        <f aca="false">SUM(K89:R89)</f>
        <v>2161.935</v>
      </c>
    </row>
    <row r="90" customFormat="false" ht="12.75" hidden="false" customHeight="false" outlineLevel="0" collapsed="false">
      <c r="A90" s="0" t="n">
        <v>22</v>
      </c>
      <c r="B90" s="0" t="n">
        <v>168</v>
      </c>
      <c r="C90" s="0" t="n">
        <v>58</v>
      </c>
      <c r="D90" s="0" t="n">
        <v>175</v>
      </c>
      <c r="E90" s="1" t="n">
        <v>67</v>
      </c>
      <c r="J90" s="0" t="n">
        <v>3</v>
      </c>
      <c r="K90" s="5" t="n">
        <f aca="false">$J$80*K80*K77</f>
        <v>259.351875</v>
      </c>
      <c r="L90" s="5" t="n">
        <f aca="false">$J$80*L80*L77</f>
        <v>462.909375</v>
      </c>
      <c r="M90" s="5" t="n">
        <f aca="false">$J$80*M80*M77</f>
        <v>296.139375</v>
      </c>
      <c r="N90" s="5" t="n">
        <f aca="false">$J$80*N80*N77</f>
        <v>838.755</v>
      </c>
      <c r="O90" s="5" t="n">
        <f aca="false">$J$80*O80*O77</f>
        <v>110.975625</v>
      </c>
      <c r="P90" s="5" t="n">
        <f aca="false">$J$80*P80*P77</f>
        <v>0</v>
      </c>
      <c r="Q90" s="5" t="n">
        <f aca="false">$J$80*Q80*Q77</f>
        <v>0</v>
      </c>
      <c r="R90" s="5" t="n">
        <f aca="false">$J$80*R80*R77</f>
        <v>0</v>
      </c>
      <c r="S90" s="12" t="n">
        <f aca="false">SUM(K90:R90)</f>
        <v>1968.13125</v>
      </c>
    </row>
    <row r="91" customFormat="false" ht="12.75" hidden="false" customHeight="false" outlineLevel="0" collapsed="false">
      <c r="A91" s="0" t="n">
        <v>23</v>
      </c>
      <c r="B91" s="0" t="n">
        <v>173</v>
      </c>
      <c r="C91" s="0" t="n">
        <v>63</v>
      </c>
      <c r="D91" s="0" t="n">
        <v>176</v>
      </c>
      <c r="E91" s="1" t="n">
        <v>70</v>
      </c>
      <c r="J91" s="0" t="n">
        <v>4</v>
      </c>
      <c r="K91" s="5" t="n">
        <f aca="false">$J$81*K81*K77</f>
        <v>0</v>
      </c>
      <c r="L91" s="5" t="n">
        <f aca="false">$J$81*L81*L77</f>
        <v>94.280625</v>
      </c>
      <c r="M91" s="5" t="n">
        <f aca="false">$J$81*M81*M77</f>
        <v>402.0975</v>
      </c>
      <c r="N91" s="5" t="n">
        <f aca="false">$J$81*N81*N77</f>
        <v>533.840625</v>
      </c>
      <c r="O91" s="5" t="n">
        <f aca="false">$J$81*O81*O77</f>
        <v>678.07125</v>
      </c>
      <c r="P91" s="5" t="n">
        <f aca="false">$J$81*P81*P77</f>
        <v>834.789375</v>
      </c>
      <c r="Q91" s="5" t="n">
        <f aca="false">$J$81*Q81*Q77</f>
        <v>125.499375</v>
      </c>
      <c r="R91" s="5" t="n">
        <f aca="false">$J$81*R81*R77</f>
        <v>0</v>
      </c>
      <c r="S91" s="12" t="n">
        <f aca="false">SUM(K91:R91)</f>
        <v>2668.57875</v>
      </c>
    </row>
    <row r="92" customFormat="false" ht="12.75" hidden="false" customHeight="false" outlineLevel="0" collapsed="false">
      <c r="A92" s="0" t="n">
        <v>24</v>
      </c>
      <c r="B92" s="0" t="n">
        <v>173</v>
      </c>
      <c r="C92" s="0" t="n">
        <v>72</v>
      </c>
      <c r="D92" s="0" t="n">
        <v>176</v>
      </c>
      <c r="E92" s="1" t="n">
        <v>65</v>
      </c>
      <c r="J92" s="0" t="n">
        <v>5</v>
      </c>
      <c r="K92" s="5" t="n">
        <f aca="false">$J$82*K82*K77</f>
        <v>0</v>
      </c>
      <c r="L92" s="5" t="n">
        <f aca="false">$J$82*L82*L77</f>
        <v>0</v>
      </c>
      <c r="M92" s="5" t="n">
        <f aca="false">$J$82*M82*M77</f>
        <v>102.335625</v>
      </c>
      <c r="N92" s="5" t="n">
        <f aca="false">$J$82*N82*N77</f>
        <v>543.459375</v>
      </c>
      <c r="O92" s="5" t="n">
        <f aca="false">$J$82*O82*O77</f>
        <v>575.240625</v>
      </c>
      <c r="P92" s="5" t="n">
        <f aca="false">$J$82*P82*P77</f>
        <v>485.6175</v>
      </c>
      <c r="Q92" s="5" t="n">
        <f aca="false">$J$82*Q82*Q77</f>
        <v>127.760625</v>
      </c>
      <c r="R92" s="5" t="n">
        <f aca="false">$J$82*R82*R77</f>
        <v>0</v>
      </c>
      <c r="S92" s="12" t="n">
        <f aca="false">SUM(K92:R92)</f>
        <v>1834.41375</v>
      </c>
    </row>
    <row r="93" customFormat="false" ht="12.75" hidden="false" customHeight="false" outlineLevel="0" collapsed="false">
      <c r="A93" s="0" t="n">
        <v>25</v>
      </c>
      <c r="B93" s="0" t="n">
        <v>170</v>
      </c>
      <c r="C93" s="0" t="n">
        <v>65</v>
      </c>
      <c r="D93" s="0" t="n">
        <v>178</v>
      </c>
      <c r="E93" s="1" t="n">
        <v>62</v>
      </c>
      <c r="F93" s="2" t="s">
        <v>84</v>
      </c>
      <c r="J93" s="0" t="n">
        <v>6</v>
      </c>
      <c r="K93" s="5" t="n">
        <f aca="false">$J$83*K83*K77</f>
        <v>0</v>
      </c>
      <c r="L93" s="5" t="n">
        <f aca="false">$J$83*L83*L77</f>
        <v>0</v>
      </c>
      <c r="M93" s="5" t="n">
        <f aca="false">$J$83*M83*M77</f>
        <v>104.146875</v>
      </c>
      <c r="N93" s="5" t="n">
        <f aca="false">$J$83*N83*N77</f>
        <v>0</v>
      </c>
      <c r="O93" s="5" t="n">
        <f aca="false">$J$83*O83*O77</f>
        <v>234.16875</v>
      </c>
      <c r="P93" s="5" t="n">
        <f aca="false">$J$83*P83*P77</f>
        <v>0</v>
      </c>
      <c r="Q93" s="5" t="n">
        <f aca="false">$J$83*Q83*Q77</f>
        <v>130.021875</v>
      </c>
      <c r="R93" s="5" t="n">
        <f aca="false">$J$83*R83*R77</f>
        <v>136.490625</v>
      </c>
      <c r="S93" s="12" t="n">
        <f aca="false">SUM(K93:R93)</f>
        <v>604.828125</v>
      </c>
    </row>
    <row r="94" customFormat="false" ht="12.75" hidden="false" customHeight="false" outlineLevel="0" collapsed="false">
      <c r="A94" s="0" t="n">
        <v>26</v>
      </c>
      <c r="B94" s="0" t="n">
        <v>172</v>
      </c>
      <c r="C94" s="0" t="n">
        <v>70</v>
      </c>
      <c r="D94" s="0" t="n">
        <v>179</v>
      </c>
      <c r="E94" s="1" t="n">
        <v>77</v>
      </c>
      <c r="F94" s="2" t="s">
        <v>85</v>
      </c>
      <c r="J94" s="0" t="n">
        <v>7</v>
      </c>
      <c r="K94" s="5" t="n">
        <f aca="false">$J$84*K84*K77</f>
        <v>0</v>
      </c>
      <c r="L94" s="5" t="n">
        <f aca="false">$J$84*L84*L77</f>
        <v>0</v>
      </c>
      <c r="M94" s="5" t="n">
        <f aca="false">$J$84*M84*M77</f>
        <v>0</v>
      </c>
      <c r="N94" s="5" t="n">
        <f aca="false">$J$84*N84*N77</f>
        <v>112.539375</v>
      </c>
      <c r="O94" s="5" t="n">
        <f aca="false">$J$84*O84*O77</f>
        <v>238.24125</v>
      </c>
      <c r="P94" s="5" t="n">
        <f aca="false">$J$84*P84*P77</f>
        <v>0</v>
      </c>
      <c r="Q94" s="5" t="n">
        <f aca="false">$J$84*Q84*Q77</f>
        <v>0</v>
      </c>
      <c r="R94" s="5" t="n">
        <f aca="false">$J$84*R84*R77</f>
        <v>0</v>
      </c>
      <c r="S94" s="12" t="n">
        <f aca="false">SUM(K94:R94)</f>
        <v>350.780625</v>
      </c>
    </row>
    <row r="95" customFormat="false" ht="12.75" hidden="false" customHeight="false" outlineLevel="0" collapsed="false">
      <c r="A95" s="0" t="n">
        <v>27</v>
      </c>
      <c r="B95" s="0" t="n">
        <v>162</v>
      </c>
      <c r="C95" s="0" t="n">
        <v>56</v>
      </c>
      <c r="D95" s="0" t="n">
        <v>179</v>
      </c>
      <c r="E95" s="1" t="n">
        <v>80</v>
      </c>
      <c r="J95" s="0" t="n">
        <v>8</v>
      </c>
      <c r="K95" s="5" t="n">
        <f aca="false">$J$85*K85*K77</f>
        <v>0</v>
      </c>
      <c r="L95" s="5" t="n">
        <f aca="false">$J$85*L85*L77</f>
        <v>0</v>
      </c>
      <c r="M95" s="5" t="n">
        <f aca="false">$J$85*M85*M77</f>
        <v>0</v>
      </c>
      <c r="N95" s="5" t="n">
        <f aca="false">$J$85*N85*N77</f>
        <v>0</v>
      </c>
      <c r="O95" s="5" t="n">
        <f aca="false">$J$85*O85*O77</f>
        <v>0</v>
      </c>
      <c r="P95" s="5" t="n">
        <f aca="false">$J$85*P85*P77</f>
        <v>0</v>
      </c>
      <c r="Q95" s="5" t="n">
        <f aca="false">$J$85*Q85*Q77</f>
        <v>0</v>
      </c>
      <c r="R95" s="5" t="n">
        <f aca="false">$J$85*R85*R77</f>
        <v>141.238125</v>
      </c>
      <c r="S95" s="12" t="n">
        <f aca="false">SUM(K95:R95)</f>
        <v>141.238125</v>
      </c>
    </row>
    <row r="96" customFormat="false" ht="12.75" hidden="false" customHeight="false" outlineLevel="0" collapsed="false">
      <c r="A96" s="0" t="n">
        <v>28</v>
      </c>
      <c r="B96" s="0" t="n">
        <v>171</v>
      </c>
      <c r="C96" s="0" t="n">
        <v>63</v>
      </c>
      <c r="D96" s="0" t="n">
        <v>179</v>
      </c>
      <c r="E96" s="1" t="n">
        <v>69</v>
      </c>
      <c r="K96" s="12" t="n">
        <f aca="false">SUM(K88:K95)</f>
        <v>678.915</v>
      </c>
      <c r="L96" s="12" t="n">
        <f aca="false">SUM(L88:L95)</f>
        <v>1008.208125</v>
      </c>
      <c r="M96" s="12" t="n">
        <f aca="false">SUM(M88:M95)</f>
        <v>1967.0175</v>
      </c>
      <c r="N96" s="12" t="n">
        <f aca="false">SUM(N88:N95)</f>
        <v>2644.194375</v>
      </c>
      <c r="O96" s="12" t="n">
        <f aca="false">SUM(O88:O95)</f>
        <v>2161.479375</v>
      </c>
      <c r="P96" s="12" t="n">
        <f aca="false">SUM(P88:P95)</f>
        <v>1435.365</v>
      </c>
      <c r="Q96" s="12" t="n">
        <f aca="false">SUM(Q88:Q95)</f>
        <v>383.281875</v>
      </c>
      <c r="R96" s="12" t="n">
        <f aca="false">SUM(R88:R95)</f>
        <v>277.72875</v>
      </c>
      <c r="S96" s="12" t="n">
        <f aca="false">SUM(K96:R96)</f>
        <v>10556.19</v>
      </c>
      <c r="T96" s="0" t="s">
        <v>86</v>
      </c>
    </row>
    <row r="97" customFormat="false" ht="12.75" hidden="false" customHeight="false" outlineLevel="0" collapsed="false">
      <c r="A97" s="0" t="n">
        <v>29</v>
      </c>
      <c r="B97" s="0" t="n">
        <v>173</v>
      </c>
      <c r="C97" s="0" t="n">
        <v>69</v>
      </c>
      <c r="D97" s="0" t="n">
        <v>179</v>
      </c>
      <c r="E97" s="1" t="n">
        <v>71</v>
      </c>
      <c r="F97" s="2" t="s">
        <v>87</v>
      </c>
      <c r="H97" s="0" t="s">
        <v>88</v>
      </c>
      <c r="K97" s="0" t="s">
        <v>89</v>
      </c>
      <c r="N97" s="0" t="s">
        <v>90</v>
      </c>
    </row>
    <row r="98" customFormat="false" ht="12.75" hidden="false" customHeight="false" outlineLevel="0" collapsed="false">
      <c r="A98" s="0" t="n">
        <v>30</v>
      </c>
      <c r="B98" s="0" t="n">
        <v>156</v>
      </c>
      <c r="C98" s="0" t="n">
        <v>54</v>
      </c>
      <c r="D98" s="0" t="n">
        <v>180</v>
      </c>
      <c r="E98" s="1" t="n">
        <v>65</v>
      </c>
      <c r="F98" s="2" t="s">
        <v>91</v>
      </c>
      <c r="H98" s="0" t="s">
        <v>1</v>
      </c>
      <c r="I98" s="35" t="n">
        <f aca="false">K77</f>
        <v>52.875</v>
      </c>
      <c r="J98" s="35" t="n">
        <f aca="false">L77</f>
        <v>56.625</v>
      </c>
      <c r="K98" s="35" t="n">
        <f aca="false">M77</f>
        <v>60.375</v>
      </c>
      <c r="L98" s="35" t="n">
        <f aca="false">N77</f>
        <v>64.125</v>
      </c>
      <c r="M98" s="35" t="n">
        <f aca="false">O77</f>
        <v>67.875</v>
      </c>
      <c r="N98" s="35" t="n">
        <f aca="false">P77</f>
        <v>71.625</v>
      </c>
      <c r="O98" s="35" t="n">
        <f aca="false">Q77</f>
        <v>75.375</v>
      </c>
      <c r="P98" s="35" t="n">
        <f aca="false">R77</f>
        <v>79.125</v>
      </c>
    </row>
    <row r="99" customFormat="false" ht="12.75" hidden="false" customHeight="false" outlineLevel="0" collapsed="false">
      <c r="A99" s="0" t="n">
        <v>31</v>
      </c>
      <c r="B99" s="0" t="n">
        <v>168</v>
      </c>
      <c r="C99" s="0" t="n">
        <v>70</v>
      </c>
      <c r="D99" s="0" t="n">
        <v>180</v>
      </c>
      <c r="E99" s="1" t="n">
        <v>69</v>
      </c>
      <c r="F99" s="2" t="s">
        <v>92</v>
      </c>
      <c r="H99" s="0" t="s">
        <v>93</v>
      </c>
      <c r="I99" s="3" t="n">
        <f aca="false">K86</f>
        <v>0.08</v>
      </c>
      <c r="J99" s="3" t="n">
        <f aca="false">L86</f>
        <v>0.11</v>
      </c>
      <c r="K99" s="3" t="n">
        <f aca="false">M86</f>
        <v>0.2</v>
      </c>
      <c r="L99" s="3" t="n">
        <f aca="false">N86</f>
        <v>0.25</v>
      </c>
      <c r="M99" s="3" t="n">
        <f aca="false">O86</f>
        <v>0.19</v>
      </c>
      <c r="N99" s="3" t="n">
        <f aca="false">P86</f>
        <v>0.12</v>
      </c>
      <c r="O99" s="3" t="n">
        <f aca="false">Q86</f>
        <v>0.03</v>
      </c>
      <c r="P99" s="3" t="n">
        <f aca="false">R86</f>
        <v>0.02</v>
      </c>
    </row>
    <row r="100" customFormat="false" ht="12.75" hidden="false" customHeight="false" outlineLevel="0" collapsed="false">
      <c r="A100" s="0" t="n">
        <v>32</v>
      </c>
      <c r="B100" s="0" t="n">
        <v>176</v>
      </c>
      <c r="C100" s="0" t="n">
        <v>70</v>
      </c>
      <c r="D100" s="0" t="n">
        <v>180</v>
      </c>
      <c r="E100" s="1" t="n">
        <v>69</v>
      </c>
      <c r="I100" s="35" t="n">
        <f aca="false">I98*I99</f>
        <v>4.23</v>
      </c>
      <c r="J100" s="35" t="n">
        <f aca="false">J98*J99</f>
        <v>6.22875</v>
      </c>
      <c r="K100" s="35" t="n">
        <f aca="false">K98*K99</f>
        <v>12.075</v>
      </c>
      <c r="L100" s="35" t="n">
        <f aca="false">L98*L99</f>
        <v>16.03125</v>
      </c>
      <c r="M100" s="35" t="n">
        <f aca="false">M98*M99</f>
        <v>12.89625</v>
      </c>
      <c r="N100" s="35" t="n">
        <f aca="false">N98*N99</f>
        <v>8.595</v>
      </c>
      <c r="O100" s="35" t="n">
        <f aca="false">O98*O99</f>
        <v>2.26125</v>
      </c>
      <c r="P100" s="35" t="n">
        <f aca="false">P98*P99</f>
        <v>1.5825</v>
      </c>
      <c r="Q100" s="0" t="n">
        <f aca="false">SUM(I100:P100)</f>
        <v>63.9</v>
      </c>
      <c r="R100" s="0" t="s">
        <v>94</v>
      </c>
    </row>
    <row r="101" customFormat="false" ht="12.75" hidden="false" customHeight="false" outlineLevel="0" collapsed="false">
      <c r="A101" s="0" t="n">
        <v>33</v>
      </c>
      <c r="B101" s="0" t="n">
        <v>164</v>
      </c>
      <c r="C101" s="0" t="n">
        <v>57</v>
      </c>
      <c r="D101" s="0" t="n">
        <v>187</v>
      </c>
      <c r="E101" s="1" t="n">
        <v>84</v>
      </c>
      <c r="F101" s="2" t="s">
        <v>95</v>
      </c>
      <c r="I101" s="35" t="n">
        <f aca="false">I100*I98</f>
        <v>223.66125</v>
      </c>
      <c r="J101" s="35" t="n">
        <f aca="false">J100*J98</f>
        <v>352.70296875</v>
      </c>
      <c r="K101" s="35" t="n">
        <f aca="false">K100*K98</f>
        <v>729.028125</v>
      </c>
      <c r="L101" s="35" t="n">
        <f aca="false">L100*L98</f>
        <v>1028.00390625</v>
      </c>
      <c r="M101" s="35" t="n">
        <f aca="false">M100*M98</f>
        <v>875.33296875</v>
      </c>
      <c r="N101" s="35" t="n">
        <f aca="false">N100*N98</f>
        <v>615.616875</v>
      </c>
      <c r="O101" s="35" t="n">
        <f aca="false">O100*O98</f>
        <v>170.44171875</v>
      </c>
      <c r="P101" s="35" t="n">
        <f aca="false">P100*P98</f>
        <v>125.2153125</v>
      </c>
      <c r="Q101" s="0" t="n">
        <f aca="false">SUM(I101:P101)</f>
        <v>4120.003125</v>
      </c>
      <c r="R101" s="0" t="s">
        <v>96</v>
      </c>
    </row>
    <row r="102" customFormat="false" ht="12.75" hidden="false" customHeight="false" outlineLevel="0" collapsed="false">
      <c r="B102" s="61" t="n">
        <f aca="false">AVERAGE(B2:B101)</f>
        <v>168.83</v>
      </c>
      <c r="H102" s="0" t="s">
        <v>97</v>
      </c>
      <c r="K102" s="0" t="n">
        <f aca="false">(S96-R108*Q100)/(R111*S102)</f>
        <v>0.584976091404094</v>
      </c>
      <c r="M102" s="0" t="s">
        <v>98</v>
      </c>
      <c r="N102" s="0" t="n">
        <f aca="false">K102*S102/R111</f>
        <v>0.761952191234952</v>
      </c>
      <c r="Q102" s="0" t="n">
        <f aca="false">-Q100*Q100+Q101</f>
        <v>36.7931249999992</v>
      </c>
      <c r="R102" s="0" t="s">
        <v>99</v>
      </c>
      <c r="S102" s="0" t="n">
        <f aca="false">Q102^0.5</f>
        <v>6.06573367367866</v>
      </c>
      <c r="T102" s="0" t="s">
        <v>100</v>
      </c>
    </row>
    <row r="103" customFormat="false" ht="12.75" hidden="false" customHeight="false" outlineLevel="0" collapsed="false">
      <c r="B103" s="49" t="n">
        <f aca="false">_xlfn.VAR.S(B2:B101)</f>
        <v>26.1021212121212</v>
      </c>
      <c r="I103" s="0" t="s">
        <v>138</v>
      </c>
      <c r="J103" s="0" t="n">
        <f aca="false">N102</f>
        <v>0.761952191234952</v>
      </c>
      <c r="K103" s="0" t="s">
        <v>139</v>
      </c>
      <c r="L103" s="0" t="n">
        <f aca="false">Q100-N102*K27</f>
        <v>-64.4508466135277</v>
      </c>
    </row>
    <row r="104" customFormat="false" ht="12.75" hidden="false" customHeight="false" outlineLevel="0" collapsed="false">
      <c r="B104" s="49" t="n">
        <f aca="false">_xlfn.VAR.P(B2:B101)</f>
        <v>25.8411</v>
      </c>
    </row>
    <row r="105" customFormat="false" ht="12.75" hidden="false" customHeight="false" outlineLevel="0" collapsed="false">
      <c r="B105" s="0" t="n">
        <f aca="false">SKEW(B2:B101)</f>
        <v>-0.269017612824433</v>
      </c>
      <c r="J105" s="0" t="s">
        <v>101</v>
      </c>
      <c r="M105" s="0" t="s">
        <v>102</v>
      </c>
    </row>
    <row r="106" customFormat="false" ht="12.75" hidden="false" customHeight="false" outlineLevel="0" collapsed="false">
      <c r="B106" s="0" t="n">
        <f aca="false">KURT(B2:B101)</f>
        <v>0.0186218411822643</v>
      </c>
      <c r="I106" s="0" t="s">
        <v>103</v>
      </c>
      <c r="J106" s="45" t="n">
        <f aca="false">J78</f>
        <v>157.5</v>
      </c>
      <c r="K106" s="45" t="n">
        <f aca="false">J79</f>
        <v>160.5</v>
      </c>
      <c r="L106" s="45" t="n">
        <f aca="false">J80</f>
        <v>163.5</v>
      </c>
      <c r="M106" s="45" t="n">
        <f aca="false">J81</f>
        <v>166.5</v>
      </c>
      <c r="N106" s="45" t="n">
        <f aca="false">J82</f>
        <v>169.5</v>
      </c>
      <c r="O106" s="45" t="n">
        <f aca="false">J83</f>
        <v>172.5</v>
      </c>
      <c r="P106" s="45" t="n">
        <f aca="false">J84</f>
        <v>175.5</v>
      </c>
      <c r="Q106" s="45" t="n">
        <f aca="false">J85</f>
        <v>178.5</v>
      </c>
      <c r="R106" s="18"/>
    </row>
    <row r="107" customFormat="false" ht="12.75" hidden="false" customHeight="false" outlineLevel="0" collapsed="false">
      <c r="I107" s="0" t="s">
        <v>93</v>
      </c>
      <c r="J107" s="5" t="n">
        <f aca="false">S78</f>
        <v>0.09</v>
      </c>
      <c r="K107" s="5" t="n">
        <f aca="false">S79</f>
        <v>0.22</v>
      </c>
      <c r="L107" s="5" t="n">
        <f aca="false">S80</f>
        <v>0.2</v>
      </c>
      <c r="M107" s="5" t="n">
        <f aca="false">S81</f>
        <v>0.24</v>
      </c>
      <c r="N107" s="5" t="n">
        <f aca="false">S82</f>
        <v>0.16</v>
      </c>
      <c r="O107" s="5" t="n">
        <f aca="false">S83</f>
        <v>0.05</v>
      </c>
      <c r="P107" s="5" t="n">
        <f aca="false">S84</f>
        <v>0.03</v>
      </c>
      <c r="Q107" s="5" t="n">
        <f aca="false">S85</f>
        <v>0.01</v>
      </c>
      <c r="R107" s="18"/>
    </row>
    <row r="108" customFormat="false" ht="12.75" hidden="false" customHeight="false" outlineLevel="0" collapsed="false">
      <c r="J108" s="18" t="n">
        <f aca="false">J106*J107</f>
        <v>14.175</v>
      </c>
      <c r="K108" s="18" t="n">
        <f aca="false">K106*K107</f>
        <v>35.31</v>
      </c>
      <c r="L108" s="18" t="n">
        <f aca="false">L106*L107</f>
        <v>32.7</v>
      </c>
      <c r="M108" s="18" t="n">
        <f aca="false">M106*M107</f>
        <v>39.96</v>
      </c>
      <c r="N108" s="18" t="n">
        <f aca="false">N106*N107</f>
        <v>27.12</v>
      </c>
      <c r="O108" s="18" t="n">
        <f aca="false">O106*O107</f>
        <v>8.625</v>
      </c>
      <c r="P108" s="18" t="n">
        <f aca="false">P106*P107</f>
        <v>5.265</v>
      </c>
      <c r="Q108" s="18" t="n">
        <f aca="false">Q106*Q107</f>
        <v>1.785</v>
      </c>
      <c r="R108" s="5" t="n">
        <f aca="false">SUM(J108:Q108)</f>
        <v>164.94</v>
      </c>
      <c r="S108" s="0" t="s">
        <v>104</v>
      </c>
    </row>
    <row r="109" customFormat="false" ht="12.75" hidden="false" customHeight="false" outlineLevel="0" collapsed="false">
      <c r="J109" s="18" t="n">
        <f aca="false">J108*J106</f>
        <v>2232.5625</v>
      </c>
      <c r="K109" s="18" t="n">
        <f aca="false">K108*K106</f>
        <v>5667.255</v>
      </c>
      <c r="L109" s="18" t="n">
        <f aca="false">L108*L106</f>
        <v>5346.45</v>
      </c>
      <c r="M109" s="18" t="n">
        <f aca="false">M108*M106</f>
        <v>6653.34</v>
      </c>
      <c r="N109" s="18" t="n">
        <f aca="false">N108*N106</f>
        <v>4596.84</v>
      </c>
      <c r="O109" s="18" t="n">
        <f aca="false">O108*O106</f>
        <v>1487.8125</v>
      </c>
      <c r="P109" s="18" t="n">
        <f aca="false">P108*P106</f>
        <v>924.0075</v>
      </c>
      <c r="Q109" s="18" t="n">
        <f aca="false">Q108*Q106</f>
        <v>318.6225</v>
      </c>
      <c r="R109" s="18" t="n">
        <f aca="false">SUM(J109:Q109)</f>
        <v>27226.89</v>
      </c>
      <c r="S109" s="0" t="s">
        <v>105</v>
      </c>
    </row>
    <row r="110" customFormat="false" ht="12.75" hidden="false" customHeight="false" outlineLevel="0" collapsed="false">
      <c r="J110" s="18"/>
      <c r="K110" s="18"/>
      <c r="L110" s="18"/>
      <c r="M110" s="18"/>
      <c r="N110" s="18"/>
      <c r="O110" s="18"/>
      <c r="P110" s="18"/>
      <c r="Q110" s="18"/>
      <c r="R110" s="18" t="n">
        <f aca="false">-R108*R108+R109</f>
        <v>21.6864000000023</v>
      </c>
      <c r="S110" s="0" t="s">
        <v>106</v>
      </c>
    </row>
    <row r="111" customFormat="false" ht="12.75" hidden="false" customHeight="false" outlineLevel="0" collapsed="false">
      <c r="J111" s="18"/>
      <c r="K111" s="18"/>
      <c r="L111" s="18"/>
      <c r="M111" s="18"/>
      <c r="N111" s="18"/>
      <c r="O111" s="18"/>
      <c r="P111" s="18"/>
      <c r="Q111" s="18"/>
      <c r="R111" s="8" t="n">
        <f aca="false">R110^0.5</f>
        <v>4.65686589886399</v>
      </c>
      <c r="S111" s="0" t="s">
        <v>107</v>
      </c>
    </row>
    <row r="118" customFormat="false" ht="12.75" hidden="false" customHeight="false" outlineLevel="0" collapsed="false">
      <c r="J118" s="0" t="s">
        <v>108</v>
      </c>
      <c r="L118" s="1" t="n">
        <f aca="false">8/65</f>
        <v>0.123076923076923</v>
      </c>
      <c r="M118" s="2" t="n">
        <f aca="false">1/13</f>
        <v>0.0769230769230769</v>
      </c>
    </row>
    <row r="119" customFormat="false" ht="12.75" hidden="false" customHeight="false" outlineLevel="0" collapsed="false">
      <c r="I119" s="0" t="s">
        <v>0</v>
      </c>
      <c r="J119" s="0" t="n">
        <v>0</v>
      </c>
      <c r="K119" s="0" t="n">
        <v>1</v>
      </c>
      <c r="L119" s="0" t="n">
        <v>2</v>
      </c>
      <c r="M119" s="0" t="n">
        <v>3</v>
      </c>
    </row>
    <row r="120" customFormat="false" ht="12.75" hidden="false" customHeight="false" outlineLevel="0" collapsed="false">
      <c r="I120" s="0" t="s">
        <v>93</v>
      </c>
      <c r="J120" s="8" t="n">
        <f aca="false">COMBIN(7,0)*COMBIN(8,3)/COMBIN(15,3)</f>
        <v>0.123076923076923</v>
      </c>
      <c r="K120" s="8" t="n">
        <f aca="false">COMBIN(7,1)*COMBIN(8,2)/COMBIN(15,3)</f>
        <v>0.430769230769231</v>
      </c>
      <c r="L120" s="8" t="n">
        <f aca="false">COMBIN(7,2)*COMBIN(8,1)/COMBIN(15,3)</f>
        <v>0.369230769230769</v>
      </c>
      <c r="M120" s="8" t="n">
        <f aca="false">COMBIN(7,3)*COMBIN(8,0)/COMBIN(15,3)</f>
        <v>0.0769230769230769</v>
      </c>
      <c r="O120" s="0" t="n">
        <f aca="false">SUM(J120:N120)</f>
        <v>1</v>
      </c>
    </row>
    <row r="121" customFormat="false" ht="12.75" hidden="false" customHeight="false" outlineLevel="0" collapsed="false">
      <c r="J121" s="8" t="n">
        <f aca="false">J120*J119</f>
        <v>0</v>
      </c>
      <c r="K121" s="8" t="n">
        <f aca="false">K120*K119</f>
        <v>0.430769230769231</v>
      </c>
      <c r="L121" s="8" t="n">
        <f aca="false">L120*L119</f>
        <v>0.738461538461538</v>
      </c>
      <c r="M121" s="8" t="n">
        <f aca="false">M120*M119</f>
        <v>0.230769230769231</v>
      </c>
      <c r="O121" s="0" t="n">
        <f aca="false">SUM(J121:N121)</f>
        <v>1.4</v>
      </c>
      <c r="P121" s="0" t="s">
        <v>109</v>
      </c>
    </row>
    <row r="122" customFormat="false" ht="12.75" hidden="false" customHeight="false" outlineLevel="0" collapsed="false">
      <c r="J122" s="8" t="n">
        <f aca="false">J121*J119</f>
        <v>0</v>
      </c>
      <c r="K122" s="8" t="n">
        <f aca="false">K121*K119</f>
        <v>0.430769230769231</v>
      </c>
      <c r="L122" s="8" t="n">
        <f aca="false">L121*L119</f>
        <v>1.47692307692308</v>
      </c>
      <c r="M122" s="8" t="n">
        <f aca="false">M121*M119</f>
        <v>0.692307692307692</v>
      </c>
      <c r="O122" s="0" t="n">
        <f aca="false">SUM(J122:N122)</f>
        <v>2.6</v>
      </c>
      <c r="P122" s="0" t="s">
        <v>110</v>
      </c>
    </row>
    <row r="123" customFormat="false" ht="12.75" hidden="false" customHeight="false" outlineLevel="0" collapsed="false">
      <c r="L123" s="1"/>
      <c r="M123" s="2"/>
      <c r="O123" s="0" t="n">
        <f aca="false">O122-O121*O121</f>
        <v>0.64</v>
      </c>
      <c r="P123" s="0" t="s">
        <v>111</v>
      </c>
    </row>
    <row r="124" customFormat="false" ht="12.75" hidden="false" customHeight="false" outlineLevel="0" collapsed="false">
      <c r="J124" s="0" t="n">
        <f aca="false">J120*(J119-$O$121)^2</f>
        <v>0.241230769230769</v>
      </c>
      <c r="K124" s="0" t="n">
        <f aca="false">K120*(K119-$O$121)^2</f>
        <v>0.0689230769230769</v>
      </c>
      <c r="L124" s="0" t="n">
        <f aca="false">L120*(L119-$O$121)^2</f>
        <v>0.132923076923077</v>
      </c>
      <c r="M124" s="0" t="n">
        <f aca="false">M120*(M119-$O$121)^2</f>
        <v>0.196923076923077</v>
      </c>
      <c r="O124" s="0" t="n">
        <f aca="false">SUM(J124:N124)</f>
        <v>0.64</v>
      </c>
    </row>
    <row r="125" customFormat="false" ht="12.75" hidden="false" customHeight="false" outlineLevel="0" collapsed="false">
      <c r="I125" s="0" t="s">
        <v>112</v>
      </c>
      <c r="J125" s="8" t="n">
        <f aca="false">J120</f>
        <v>0.123076923076923</v>
      </c>
      <c r="K125" s="8" t="n">
        <f aca="false">J125+K120</f>
        <v>0.553846153846154</v>
      </c>
      <c r="L125" s="8" t="n">
        <f aca="false">K125+L120</f>
        <v>0.923076923076923</v>
      </c>
      <c r="M125" s="8" t="n">
        <f aca="false">L125+M120</f>
        <v>1</v>
      </c>
    </row>
    <row r="141" customFormat="false" ht="12.75" hidden="false" customHeight="false" outlineLevel="0" collapsed="false">
      <c r="G141" s="0" t="n">
        <v>174</v>
      </c>
      <c r="H141" s="0" t="n">
        <v>70</v>
      </c>
    </row>
    <row r="142" customFormat="false" ht="12.75" hidden="false" customHeight="false" outlineLevel="0" collapsed="false">
      <c r="G142" s="0" t="n">
        <v>166</v>
      </c>
      <c r="H142" s="0" t="n">
        <v>57</v>
      </c>
    </row>
    <row r="143" customFormat="false" ht="12.75" hidden="false" customHeight="false" outlineLevel="0" collapsed="false">
      <c r="G143" s="0" t="n">
        <v>161</v>
      </c>
      <c r="H143" s="0" t="n">
        <v>55</v>
      </c>
    </row>
    <row r="144" customFormat="false" ht="12.75" hidden="false" customHeight="false" outlineLevel="0" collapsed="false">
      <c r="G144" s="0" t="n">
        <v>172</v>
      </c>
      <c r="H144" s="0" t="n">
        <v>60</v>
      </c>
    </row>
    <row r="145" customFormat="false" ht="12.75" hidden="false" customHeight="false" outlineLevel="0" collapsed="false">
      <c r="G145" s="0" t="n">
        <v>166</v>
      </c>
      <c r="H145" s="0" t="n">
        <v>57</v>
      </c>
    </row>
    <row r="146" customFormat="false" ht="12.75" hidden="false" customHeight="false" outlineLevel="0" collapsed="false">
      <c r="G146" s="0" t="n">
        <v>169</v>
      </c>
      <c r="H146" s="0" t="n">
        <v>62</v>
      </c>
    </row>
    <row r="147" customFormat="false" ht="12.75" hidden="false" customHeight="false" outlineLevel="0" collapsed="false">
      <c r="G147" s="0" t="n">
        <v>168</v>
      </c>
      <c r="H147" s="0" t="n">
        <v>70</v>
      </c>
    </row>
    <row r="148" customFormat="false" ht="12.75" hidden="false" customHeight="false" outlineLevel="0" collapsed="false">
      <c r="G148" s="0" t="n">
        <v>167</v>
      </c>
      <c r="H148" s="0" t="n">
        <v>65</v>
      </c>
    </row>
    <row r="149" customFormat="false" ht="12.75" hidden="false" customHeight="false" outlineLevel="0" collapsed="false">
      <c r="G149" s="0" t="n">
        <v>178</v>
      </c>
      <c r="H149" s="0" t="n">
        <v>80</v>
      </c>
    </row>
    <row r="150" customFormat="false" ht="12.75" hidden="false" customHeight="false" outlineLevel="0" collapsed="false">
      <c r="G150" s="0" t="n">
        <v>165</v>
      </c>
      <c r="H150" s="0" t="n">
        <v>68</v>
      </c>
    </row>
    <row r="151" customFormat="false" ht="12.75" hidden="false" customHeight="false" outlineLevel="0" collapsed="false">
      <c r="G151" s="0" t="n">
        <v>175</v>
      </c>
      <c r="H151" s="0" t="n">
        <v>64</v>
      </c>
    </row>
    <row r="152" customFormat="false" ht="12.75" hidden="false" customHeight="false" outlineLevel="0" collapsed="false">
      <c r="G152" s="0" t="n">
        <v>165</v>
      </c>
      <c r="H152" s="0" t="n">
        <v>55</v>
      </c>
    </row>
    <row r="153" customFormat="false" ht="12.75" hidden="false" customHeight="false" outlineLevel="0" collapsed="false">
      <c r="G153" s="0" t="n">
        <v>172</v>
      </c>
      <c r="H153" s="0" t="n">
        <v>78</v>
      </c>
    </row>
    <row r="154" customFormat="false" ht="12.75" hidden="false" customHeight="false" outlineLevel="0" collapsed="false">
      <c r="G154" s="0" t="n">
        <v>173</v>
      </c>
      <c r="H154" s="0" t="n">
        <v>65</v>
      </c>
    </row>
    <row r="155" customFormat="false" ht="12.75" hidden="false" customHeight="false" outlineLevel="0" collapsed="false">
      <c r="G155" s="0" t="n">
        <v>167</v>
      </c>
      <c r="H155" s="0" t="n">
        <v>63</v>
      </c>
    </row>
    <row r="156" customFormat="false" ht="12.75" hidden="false" customHeight="false" outlineLevel="0" collapsed="false">
      <c r="G156" s="0" t="n">
        <v>163</v>
      </c>
      <c r="H156" s="0" t="n">
        <v>67</v>
      </c>
    </row>
    <row r="157" customFormat="false" ht="12.75" hidden="false" customHeight="false" outlineLevel="0" collapsed="false">
      <c r="G157" s="0" t="n">
        <v>173</v>
      </c>
      <c r="H157" s="0" t="n">
        <v>71</v>
      </c>
    </row>
    <row r="158" customFormat="false" ht="12.75" hidden="false" customHeight="false" outlineLevel="0" collapsed="false">
      <c r="G158" s="0" t="n">
        <v>164</v>
      </c>
      <c r="H158" s="0" t="n">
        <v>68</v>
      </c>
    </row>
    <row r="159" customFormat="false" ht="12.75" hidden="false" customHeight="false" outlineLevel="0" collapsed="false">
      <c r="G159" s="0" t="n">
        <v>170</v>
      </c>
      <c r="H159" s="0" t="n">
        <v>68</v>
      </c>
    </row>
    <row r="160" customFormat="false" ht="12.75" hidden="false" customHeight="false" outlineLevel="0" collapsed="false">
      <c r="G160" s="0" t="n">
        <v>164</v>
      </c>
      <c r="H160" s="0" t="n">
        <v>60</v>
      </c>
    </row>
    <row r="161" customFormat="false" ht="12.75" hidden="false" customHeight="false" outlineLevel="0" collapsed="false">
      <c r="G161" s="0" t="n">
        <v>170</v>
      </c>
      <c r="H161" s="0" t="n">
        <v>63</v>
      </c>
    </row>
    <row r="162" customFormat="false" ht="12.75" hidden="false" customHeight="false" outlineLevel="0" collapsed="false">
      <c r="G162" s="0" t="n">
        <v>180</v>
      </c>
      <c r="H162" s="0" t="n">
        <v>73</v>
      </c>
    </row>
    <row r="163" customFormat="false" ht="12.75" hidden="false" customHeight="false" outlineLevel="0" collapsed="false">
      <c r="G163" s="0" t="n">
        <v>176</v>
      </c>
      <c r="H163" s="0" t="n">
        <v>81</v>
      </c>
    </row>
    <row r="164" customFormat="false" ht="12.75" hidden="false" customHeight="false" outlineLevel="0" collapsed="false">
      <c r="G164" s="0" t="n">
        <v>173</v>
      </c>
      <c r="H164" s="0" t="n">
        <v>74</v>
      </c>
    </row>
    <row r="165" customFormat="false" ht="12.75" hidden="false" customHeight="false" outlineLevel="0" collapsed="false">
      <c r="G165" s="0" t="n">
        <v>168</v>
      </c>
      <c r="H165" s="0" t="n">
        <v>66</v>
      </c>
    </row>
    <row r="166" customFormat="false" ht="12.75" hidden="false" customHeight="false" outlineLevel="0" collapsed="false">
      <c r="G166" s="0" t="n">
        <v>161</v>
      </c>
      <c r="H166" s="0" t="n">
        <v>55</v>
      </c>
    </row>
    <row r="167" customFormat="false" ht="12.75" hidden="false" customHeight="false" outlineLevel="0" collapsed="false">
      <c r="G167" s="0" t="n">
        <v>164</v>
      </c>
      <c r="H167" s="0" t="n">
        <v>62</v>
      </c>
    </row>
    <row r="168" customFormat="false" ht="12.75" hidden="false" customHeight="false" outlineLevel="0" collapsed="false">
      <c r="G168" s="0" t="n">
        <v>167</v>
      </c>
      <c r="H168" s="0" t="n">
        <v>61</v>
      </c>
    </row>
    <row r="169" customFormat="false" ht="12.75" hidden="false" customHeight="false" outlineLevel="0" collapsed="false">
      <c r="G169" s="0" t="n">
        <v>176</v>
      </c>
      <c r="H169" s="0" t="n">
        <v>77</v>
      </c>
    </row>
    <row r="170" customFormat="false" ht="12.75" hidden="false" customHeight="false" outlineLevel="0" collapsed="false">
      <c r="G170" s="0" t="n">
        <v>165</v>
      </c>
      <c r="H170" s="0" t="n">
        <v>55</v>
      </c>
    </row>
    <row r="171" customFormat="false" ht="12.75" hidden="false" customHeight="false" outlineLevel="0" collapsed="false">
      <c r="G171" s="0" t="n">
        <v>166</v>
      </c>
      <c r="H171" s="0" t="n">
        <v>61</v>
      </c>
    </row>
    <row r="172" customFormat="false" ht="12.75" hidden="false" customHeight="false" outlineLevel="0" collapsed="false">
      <c r="G172" s="0" t="n">
        <v>175</v>
      </c>
      <c r="H172" s="0" t="n">
        <v>66</v>
      </c>
    </row>
    <row r="173" customFormat="false" ht="12.75" hidden="false" customHeight="false" outlineLevel="0" collapsed="false">
      <c r="G173" s="0" t="n">
        <v>164</v>
      </c>
      <c r="H173" s="0" t="n">
        <v>57</v>
      </c>
    </row>
    <row r="174" customFormat="false" ht="12.75" hidden="false" customHeight="false" outlineLevel="0" collapsed="false">
      <c r="G174" s="0" t="n">
        <v>171</v>
      </c>
      <c r="H174" s="0" t="n">
        <v>65</v>
      </c>
    </row>
    <row r="175" customFormat="false" ht="12.75" hidden="false" customHeight="false" outlineLevel="0" collapsed="false">
      <c r="G175" s="0" t="n">
        <v>174</v>
      </c>
      <c r="H175" s="0" t="n">
        <v>79</v>
      </c>
    </row>
    <row r="176" customFormat="false" ht="12.75" hidden="false" customHeight="false" outlineLevel="0" collapsed="false">
      <c r="G176" s="0" t="n">
        <v>167</v>
      </c>
      <c r="H176" s="0" t="n">
        <v>71</v>
      </c>
    </row>
    <row r="177" customFormat="false" ht="12.75" hidden="false" customHeight="false" outlineLevel="0" collapsed="false">
      <c r="G177" s="0" t="n">
        <v>169</v>
      </c>
      <c r="H177" s="0" t="n">
        <v>59</v>
      </c>
    </row>
    <row r="178" customFormat="false" ht="12.75" hidden="false" customHeight="false" outlineLevel="0" collapsed="false">
      <c r="G178" s="0" t="n">
        <v>162</v>
      </c>
      <c r="H178" s="0" t="n">
        <v>52</v>
      </c>
    </row>
    <row r="179" customFormat="false" ht="12.75" hidden="false" customHeight="false" outlineLevel="0" collapsed="false">
      <c r="G179" s="0" t="n">
        <v>169</v>
      </c>
      <c r="H179" s="0" t="n">
        <v>68</v>
      </c>
    </row>
    <row r="180" customFormat="false" ht="12.75" hidden="false" customHeight="false" outlineLevel="0" collapsed="false">
      <c r="G180" s="0" t="n">
        <v>173</v>
      </c>
      <c r="H180" s="0" t="n">
        <v>66</v>
      </c>
    </row>
    <row r="181" customFormat="false" ht="12.75" hidden="false" customHeight="false" outlineLevel="0" collapsed="false">
      <c r="G181" s="0" t="n">
        <v>172</v>
      </c>
      <c r="H181" s="0" t="n">
        <v>66</v>
      </c>
    </row>
    <row r="182" customFormat="false" ht="12.75" hidden="false" customHeight="false" outlineLevel="0" collapsed="false">
      <c r="G182" s="0" t="n">
        <v>164</v>
      </c>
      <c r="H182" s="0" t="n">
        <v>60</v>
      </c>
    </row>
    <row r="183" customFormat="false" ht="12.75" hidden="false" customHeight="false" outlineLevel="0" collapsed="false">
      <c r="G183" s="0" t="n">
        <v>170</v>
      </c>
      <c r="H183" s="0" t="n">
        <v>63</v>
      </c>
    </row>
    <row r="184" customFormat="false" ht="12.75" hidden="false" customHeight="false" outlineLevel="0" collapsed="false">
      <c r="G184" s="0" t="n">
        <v>167</v>
      </c>
      <c r="H184" s="0" t="n">
        <v>65</v>
      </c>
    </row>
    <row r="185" customFormat="false" ht="12.75" hidden="false" customHeight="false" outlineLevel="0" collapsed="false">
      <c r="G185" s="0" t="n">
        <v>166</v>
      </c>
      <c r="H185" s="0" t="n">
        <v>55</v>
      </c>
    </row>
    <row r="186" customFormat="false" ht="12.75" hidden="false" customHeight="false" outlineLevel="0" collapsed="false">
      <c r="G186" s="0" t="n">
        <v>156</v>
      </c>
      <c r="H186" s="0" t="n">
        <v>54</v>
      </c>
    </row>
    <row r="187" customFormat="false" ht="12.75" hidden="false" customHeight="false" outlineLevel="0" collapsed="false">
      <c r="G187" s="0" t="n">
        <v>166</v>
      </c>
      <c r="H187" s="0" t="n">
        <v>55</v>
      </c>
    </row>
    <row r="188" customFormat="false" ht="12.75" hidden="false" customHeight="false" outlineLevel="0" collapsed="false">
      <c r="G188" s="0" t="n">
        <v>156</v>
      </c>
      <c r="H188" s="0" t="n">
        <v>54</v>
      </c>
    </row>
    <row r="189" customFormat="false" ht="12.75" hidden="false" customHeight="false" outlineLevel="0" collapsed="false">
      <c r="G189" s="0" t="n">
        <v>169</v>
      </c>
      <c r="H189" s="0" t="n">
        <v>57</v>
      </c>
    </row>
    <row r="190" customFormat="false" ht="12.75" hidden="false" customHeight="false" outlineLevel="0" collapsed="false">
      <c r="G190" s="0" t="n">
        <v>165</v>
      </c>
      <c r="H190" s="0" t="n">
        <v>55</v>
      </c>
    </row>
    <row r="191" customFormat="false" ht="12.75" hidden="false" customHeight="false" outlineLevel="0" collapsed="false">
      <c r="G191" s="0" t="n">
        <v>172</v>
      </c>
      <c r="H191" s="0" t="n">
        <v>78</v>
      </c>
    </row>
    <row r="192" customFormat="false" ht="12.75" hidden="false" customHeight="false" outlineLevel="0" collapsed="false">
      <c r="G192" s="0" t="n">
        <v>178</v>
      </c>
      <c r="H192" s="0" t="n">
        <v>60</v>
      </c>
    </row>
    <row r="193" customFormat="false" ht="12.75" hidden="false" customHeight="false" outlineLevel="0" collapsed="false">
      <c r="G193" s="0" t="n">
        <v>170</v>
      </c>
      <c r="H193" s="0" t="n">
        <v>63</v>
      </c>
    </row>
    <row r="194" customFormat="false" ht="12.75" hidden="false" customHeight="false" outlineLevel="0" collapsed="false">
      <c r="G194" s="0" t="n">
        <v>167</v>
      </c>
      <c r="H194" s="0" t="n">
        <v>61</v>
      </c>
    </row>
    <row r="195" customFormat="false" ht="12.75" hidden="false" customHeight="false" outlineLevel="0" collapsed="false">
      <c r="G195" s="0" t="n">
        <v>166</v>
      </c>
      <c r="H195" s="0" t="n">
        <v>62</v>
      </c>
    </row>
    <row r="196" customFormat="false" ht="12.75" hidden="false" customHeight="false" outlineLevel="0" collapsed="false">
      <c r="G196" s="0" t="n">
        <v>163</v>
      </c>
      <c r="H196" s="0" t="n">
        <v>60</v>
      </c>
    </row>
    <row r="197" customFormat="false" ht="12.75" hidden="false" customHeight="false" outlineLevel="0" collapsed="false">
      <c r="G197" s="0" t="n">
        <v>157</v>
      </c>
      <c r="H197" s="0" t="n">
        <v>69</v>
      </c>
    </row>
    <row r="198" customFormat="false" ht="12.75" hidden="false" customHeight="false" outlineLevel="0" collapsed="false">
      <c r="G198" s="0" t="n">
        <v>173</v>
      </c>
      <c r="H198" s="0" t="n">
        <v>66</v>
      </c>
    </row>
    <row r="199" customFormat="false" ht="12.75" hidden="false" customHeight="false" outlineLevel="0" collapsed="false">
      <c r="G199" s="0" t="n">
        <v>176</v>
      </c>
      <c r="H199" s="0" t="n">
        <v>65</v>
      </c>
    </row>
    <row r="200" customFormat="false" ht="12.75" hidden="false" customHeight="false" outlineLevel="0" collapsed="false">
      <c r="G200" s="0" t="n">
        <v>167</v>
      </c>
      <c r="H200" s="0" t="n">
        <v>62</v>
      </c>
    </row>
    <row r="201" customFormat="false" ht="12.75" hidden="false" customHeight="false" outlineLevel="0" collapsed="false">
      <c r="G201" s="0" t="n">
        <v>168</v>
      </c>
      <c r="H201" s="0" t="n">
        <v>64</v>
      </c>
    </row>
    <row r="202" customFormat="false" ht="12.75" hidden="false" customHeight="false" outlineLevel="0" collapsed="false">
      <c r="G202" s="0" t="n">
        <v>172</v>
      </c>
      <c r="H202" s="0" t="n">
        <v>70</v>
      </c>
    </row>
    <row r="203" customFormat="false" ht="12.75" hidden="false" customHeight="false" outlineLevel="0" collapsed="false">
      <c r="G203" s="0" t="n">
        <v>168</v>
      </c>
      <c r="H203" s="0" t="n">
        <v>70</v>
      </c>
    </row>
    <row r="204" customFormat="false" ht="12.75" hidden="false" customHeight="false" outlineLevel="0" collapsed="false">
      <c r="G204" s="0" t="n">
        <v>177</v>
      </c>
      <c r="H204" s="0" t="n">
        <v>70</v>
      </c>
    </row>
    <row r="205" customFormat="false" ht="12.75" hidden="false" customHeight="false" outlineLevel="0" collapsed="false">
      <c r="G205" s="0" t="n">
        <v>163</v>
      </c>
      <c r="H205" s="0" t="n">
        <v>68</v>
      </c>
    </row>
    <row r="206" customFormat="false" ht="12.75" hidden="false" customHeight="false" outlineLevel="0" collapsed="false">
      <c r="G206" s="0" t="n">
        <v>169</v>
      </c>
      <c r="H206" s="0" t="n">
        <v>66</v>
      </c>
    </row>
    <row r="207" customFormat="false" ht="12.75" hidden="false" customHeight="false" outlineLevel="0" collapsed="false">
      <c r="G207" s="0" t="n">
        <v>173</v>
      </c>
      <c r="H207" s="0" t="n">
        <v>77</v>
      </c>
    </row>
    <row r="208" customFormat="false" ht="12.75" hidden="false" customHeight="false" outlineLevel="0" collapsed="false">
      <c r="G208" s="0" t="n">
        <v>178</v>
      </c>
      <c r="H208" s="0" t="n">
        <v>71</v>
      </c>
    </row>
    <row r="209" customFormat="false" ht="12.75" hidden="false" customHeight="false" outlineLevel="0" collapsed="false">
      <c r="G209" s="0" t="n">
        <v>171</v>
      </c>
      <c r="H209" s="0" t="n">
        <v>64</v>
      </c>
    </row>
    <row r="210" customFormat="false" ht="12.75" hidden="false" customHeight="false" outlineLevel="0" collapsed="false">
      <c r="G210" s="0" t="n">
        <v>161</v>
      </c>
      <c r="H210" s="0" t="n">
        <v>51</v>
      </c>
    </row>
    <row r="211" customFormat="false" ht="12.75" hidden="false" customHeight="false" outlineLevel="0" collapsed="false">
      <c r="G211" s="0" t="n">
        <v>162</v>
      </c>
      <c r="H211" s="0" t="n">
        <v>65</v>
      </c>
    </row>
    <row r="212" customFormat="false" ht="12.75" hidden="false" customHeight="false" outlineLevel="0" collapsed="false">
      <c r="G212" s="0" t="n">
        <v>167</v>
      </c>
      <c r="H212" s="0" t="n">
        <v>63</v>
      </c>
    </row>
    <row r="213" customFormat="false" ht="12.75" hidden="false" customHeight="false" outlineLevel="0" collapsed="false">
      <c r="G213" s="0" t="n">
        <v>174</v>
      </c>
      <c r="H213" s="0" t="n">
        <v>68</v>
      </c>
    </row>
    <row r="214" customFormat="false" ht="12.75" hidden="false" customHeight="false" outlineLevel="0" collapsed="false">
      <c r="G214" s="0" t="n">
        <v>167</v>
      </c>
      <c r="H214" s="0" t="n">
        <v>65</v>
      </c>
    </row>
    <row r="215" customFormat="false" ht="12.75" hidden="false" customHeight="false" outlineLevel="0" collapsed="false">
      <c r="G215" s="0" t="n">
        <v>169</v>
      </c>
      <c r="H215" s="0" t="n">
        <v>61</v>
      </c>
    </row>
    <row r="216" customFormat="false" ht="12.75" hidden="false" customHeight="false" outlineLevel="0" collapsed="false">
      <c r="G216" s="0" t="n">
        <v>176</v>
      </c>
      <c r="H216" s="0" t="n">
        <v>70</v>
      </c>
    </row>
    <row r="217" customFormat="false" ht="12.75" hidden="false" customHeight="false" outlineLevel="0" collapsed="false">
      <c r="G217" s="0" t="n">
        <v>170</v>
      </c>
      <c r="H217" s="0" t="n">
        <v>67</v>
      </c>
    </row>
    <row r="218" customFormat="false" ht="12.75" hidden="false" customHeight="false" outlineLevel="0" collapsed="false">
      <c r="G218" s="0" t="n">
        <v>168</v>
      </c>
      <c r="H218" s="0" t="n">
        <v>65</v>
      </c>
    </row>
    <row r="219" customFormat="false" ht="12.75" hidden="false" customHeight="false" outlineLevel="0" collapsed="false">
      <c r="G219" s="0" t="n">
        <v>172</v>
      </c>
      <c r="H219" s="0" t="n">
        <v>59</v>
      </c>
    </row>
    <row r="220" customFormat="false" ht="12.75" hidden="false" customHeight="false" outlineLevel="0" collapsed="false">
      <c r="G220" s="0" t="n">
        <v>164</v>
      </c>
      <c r="H220" s="0" t="n">
        <v>60</v>
      </c>
    </row>
    <row r="221" customFormat="false" ht="12.75" hidden="false" customHeight="false" outlineLevel="0" collapsed="false">
      <c r="G221" s="0" t="n">
        <v>178</v>
      </c>
      <c r="H221" s="0" t="n">
        <v>80</v>
      </c>
    </row>
    <row r="222" customFormat="false" ht="12.75" hidden="false" customHeight="false" outlineLevel="0" collapsed="false">
      <c r="G222" s="0" t="n">
        <v>172</v>
      </c>
      <c r="H222" s="0" t="n">
        <v>73</v>
      </c>
    </row>
    <row r="223" customFormat="false" ht="12.75" hidden="false" customHeight="false" outlineLevel="0" collapsed="false">
      <c r="G223" s="0" t="n">
        <v>171</v>
      </c>
      <c r="H223" s="0" t="n">
        <v>65</v>
      </c>
    </row>
    <row r="224" customFormat="false" ht="12.75" hidden="false" customHeight="false" outlineLevel="0" collapsed="false">
      <c r="G224" s="0" t="n">
        <v>167</v>
      </c>
      <c r="H224" s="0" t="n">
        <v>52</v>
      </c>
    </row>
    <row r="225" customFormat="false" ht="12.75" hidden="false" customHeight="false" outlineLevel="0" collapsed="false">
      <c r="G225" s="0" t="n">
        <v>170</v>
      </c>
      <c r="H225" s="0" t="n">
        <v>61</v>
      </c>
    </row>
    <row r="226" customFormat="false" ht="12.75" hidden="false" customHeight="false" outlineLevel="0" collapsed="false">
      <c r="G226" s="0" t="n">
        <v>170</v>
      </c>
      <c r="H226" s="0" t="n">
        <v>63</v>
      </c>
    </row>
    <row r="227" customFormat="false" ht="12.75" hidden="false" customHeight="false" outlineLevel="0" collapsed="false">
      <c r="G227" s="0" t="n">
        <v>167</v>
      </c>
      <c r="H227" s="0" t="n">
        <v>57</v>
      </c>
    </row>
    <row r="228" customFormat="false" ht="12.75" hidden="false" customHeight="false" outlineLevel="0" collapsed="false">
      <c r="G228" s="0" t="n">
        <v>171</v>
      </c>
      <c r="H228" s="0" t="n">
        <v>63</v>
      </c>
    </row>
    <row r="229" customFormat="false" ht="12.75" hidden="false" customHeight="false" outlineLevel="0" collapsed="false">
      <c r="G229" s="0" t="n">
        <v>168</v>
      </c>
      <c r="H229" s="0" t="n">
        <v>58</v>
      </c>
    </row>
    <row r="230" customFormat="false" ht="12.75" hidden="false" customHeight="false" outlineLevel="0" collapsed="false">
      <c r="G230" s="0" t="n">
        <v>173</v>
      </c>
      <c r="H230" s="0" t="n">
        <v>63</v>
      </c>
    </row>
    <row r="231" customFormat="false" ht="12.75" hidden="false" customHeight="false" outlineLevel="0" collapsed="false">
      <c r="G231" s="0" t="n">
        <v>173</v>
      </c>
      <c r="H231" s="0" t="n">
        <v>72</v>
      </c>
    </row>
    <row r="232" customFormat="false" ht="12.75" hidden="false" customHeight="false" outlineLevel="0" collapsed="false">
      <c r="G232" s="0" t="n">
        <v>170</v>
      </c>
      <c r="H232" s="0" t="n">
        <v>65</v>
      </c>
    </row>
    <row r="233" customFormat="false" ht="12.75" hidden="false" customHeight="false" outlineLevel="0" collapsed="false">
      <c r="G233" s="0" t="n">
        <v>172</v>
      </c>
      <c r="H233" s="0" t="n">
        <v>70</v>
      </c>
    </row>
    <row r="234" customFormat="false" ht="12.75" hidden="false" customHeight="false" outlineLevel="0" collapsed="false">
      <c r="G234" s="0" t="n">
        <v>162</v>
      </c>
      <c r="H234" s="0" t="n">
        <v>56</v>
      </c>
    </row>
    <row r="235" customFormat="false" ht="12.75" hidden="false" customHeight="false" outlineLevel="0" collapsed="false">
      <c r="G235" s="0" t="n">
        <v>171</v>
      </c>
      <c r="H235" s="0" t="n">
        <v>63</v>
      </c>
    </row>
    <row r="236" customFormat="false" ht="12.75" hidden="false" customHeight="false" outlineLevel="0" collapsed="false">
      <c r="G236" s="0" t="n">
        <v>173</v>
      </c>
      <c r="H236" s="0" t="n">
        <v>69</v>
      </c>
    </row>
    <row r="237" customFormat="false" ht="12.75" hidden="false" customHeight="false" outlineLevel="0" collapsed="false">
      <c r="G237" s="0" t="n">
        <v>156</v>
      </c>
      <c r="H237" s="0" t="n">
        <v>54</v>
      </c>
    </row>
    <row r="238" customFormat="false" ht="12.75" hidden="false" customHeight="false" outlineLevel="0" collapsed="false">
      <c r="G238" s="0" t="n">
        <v>168</v>
      </c>
      <c r="H238" s="0" t="n">
        <v>70</v>
      </c>
    </row>
    <row r="239" customFormat="false" ht="12.75" hidden="false" customHeight="false" outlineLevel="0" collapsed="false">
      <c r="G239" s="0" t="n">
        <v>176</v>
      </c>
      <c r="H239" s="0" t="n">
        <v>70</v>
      </c>
    </row>
    <row r="240" customFormat="false" ht="12.75" hidden="false" customHeight="false" outlineLevel="0" collapsed="false">
      <c r="G240" s="0" t="n">
        <v>164</v>
      </c>
      <c r="H240" s="0" t="n">
        <v>57</v>
      </c>
    </row>
  </sheetData>
  <printOptions headings="false" gridLines="true" gridLinesSet="true" horizontalCentered="false" verticalCentered="false"/>
  <pageMargins left="0.39375" right="0.39375" top="0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025" min="1" style="0" width="9"/>
  </cols>
  <sheetData/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2007-10-14T19:29:48Z</dcterms:created>
  <dc:creator>Заручевская Галина</dc:creator>
  <dc:description/>
  <dc:language>en-US</dc:language>
  <cp:lastModifiedBy/>
  <dcterms:modified xsi:type="dcterms:W3CDTF">2026-05-21T11:43:35Z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