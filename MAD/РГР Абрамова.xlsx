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в6" sheetId="1" state="visible" r:id="rId3"/>
    <sheet name="Лист6" sheetId="2" state="visible" r:id="rId4"/>
    <sheet name="в7" sheetId="3" state="visible" r:id="rId5"/>
    <sheet name="Лист3" sheetId="4" state="visible" r:id="rId6"/>
  </sheets>
  <definedNames>
    <definedName function="false" hidden="false" localSheetId="0" name="_xlnm.Print_Area" vbProcedure="false">в6!$G$62:$T$102</definedName>
    <definedName function="false" hidden="false" localSheetId="2" name="_xlnm.Print_Area" vbProcedure="false">в7!$F$62:$S$102</definedName>
    <definedName function="false" hidden="false" localSheetId="0" name="Excel_BuiltIn__FilterDatabase" vbProcedure="false">в6!$B$2:$C$101</definedName>
    <definedName function="false" hidden="false" localSheetId="2" name="Excel_BuiltIn__FilterDatabase" vbProcedure="false">в7!$A$2:$B$101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<sst xmlns="http://schemas.openxmlformats.org/spreadsheetml/2006/main" count="303" uniqueCount="145">
  <si>
    <t xml:space="preserve">X</t>
  </si>
  <si>
    <t xml:space="preserve">Y</t>
  </si>
  <si>
    <t xml:space="preserve">Хмин</t>
  </si>
  <si>
    <t xml:space="preserve">Хмакс</t>
  </si>
  <si>
    <t xml:space="preserve">6 вариант</t>
  </si>
  <si>
    <t xml:space="preserve">Задание 4</t>
  </si>
  <si>
    <t xml:space="preserve">№1</t>
  </si>
  <si>
    <t xml:space="preserve">R</t>
  </si>
  <si>
    <t xml:space="preserve">разброс</t>
  </si>
  <si>
    <t xml:space="preserve">Обработайте статистические данные 100 независимых измерений некоторой физической величины Х.</t>
  </si>
  <si>
    <t xml:space="preserve">k=</t>
  </si>
  <si>
    <t xml:space="preserve">а) Составьте статистическое распределение частот выборки Х.</t>
  </si>
  <si>
    <t xml:space="preserve">h=</t>
  </si>
  <si>
    <t xml:space="preserve">6) Найдите эмпирическую функцию распределения и постройте ее график.</t>
  </si>
  <si>
    <t xml:space="preserve">?</t>
  </si>
  <si>
    <t xml:space="preserve">в) Постройте полигон и гистограмму относительных частот.</t>
  </si>
  <si>
    <t xml:space="preserve">ai</t>
  </si>
  <si>
    <t xml:space="preserve">bi</t>
  </si>
  <si>
    <t xml:space="preserve">ni</t>
  </si>
  <si>
    <t xml:space="preserve">nsi</t>
  </si>
  <si>
    <t xml:space="preserve">xi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</si>
  <si>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i=mi/100</t>
    </r>
  </si>
  <si>
    <t xml:space="preserve">wsi=msi/n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</si>
  <si>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i/h</t>
    </r>
  </si>
  <si>
    <t xml:space="preserve">г) Вьтчислите числовые характеристики:</t>
  </si>
  <si>
    <t xml:space="preserve">• выборочную среднюю;</t>
  </si>
  <si>
    <t xml:space="preserve">• выборочную дисперсию;</t>
  </si>
  <si>
    <t xml:space="preserve">• выборочное среднее квадратическое отклонение;</t>
  </si>
  <si>
    <t xml:space="preserve">• коэффициенты эксцесса и асимметрии.</t>
  </si>
  <si>
    <t xml:space="preserve">№2</t>
  </si>
  <si>
    <t xml:space="preserve">д) Вьщнивув гипотезу о нормальном распределении, проверьте ее критерием согласия Гiирсона при уровне значимости а = 0.05.</t>
  </si>
  <si>
    <t xml:space="preserve">е) Найдите точечньте и интервальные оценки параметров распределения (доверительвую вероятность принять равной 0.95).</t>
  </si>
  <si>
    <t xml:space="preserve">-</t>
  </si>
  <si>
    <t xml:space="preserve">xср=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</si>
  <si>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</t>
    </r>
  </si>
  <si>
    <t xml:space="preserve">d</t>
  </si>
  <si>
    <r>
      <rPr>
        <sz val="10"/>
        <rFont val="Arial Cyr"/>
        <family val="0"/>
        <charset val="204"/>
      </rPr>
      <t xml:space="preserve">xi</t>
    </r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i</t>
    </r>
  </si>
  <si>
    <t xml:space="preserve">d*mi</t>
  </si>
  <si>
    <t xml:space="preserve">d2*mi</t>
  </si>
  <si>
    <t xml:space="preserve">d3*mi</t>
  </si>
  <si>
    <t xml:space="preserve">d4*mi</t>
  </si>
  <si>
    <t xml:space="preserve">2)</t>
  </si>
  <si>
    <t xml:space="preserve">m2</t>
  </si>
  <si>
    <t xml:space="preserve">m3</t>
  </si>
  <si>
    <t xml:space="preserve">m4</t>
  </si>
  <si>
    <t xml:space="preserve">s2</t>
  </si>
  <si>
    <t xml:space="preserve">точечные оценки</t>
  </si>
  <si>
    <t xml:space="preserve">s</t>
  </si>
  <si>
    <t xml:space="preserve">несмещ s2=</t>
  </si>
  <si>
    <t xml:space="preserve">несмещ s=</t>
  </si>
  <si>
    <t xml:space="preserve">Ac</t>
  </si>
  <si>
    <t xml:space="preserve">t=</t>
  </si>
  <si>
    <t xml:space="preserve">Ek</t>
  </si>
  <si>
    <t xml:space="preserve">ts/n^0,5=</t>
  </si>
  <si>
    <t xml:space="preserve">№3</t>
  </si>
  <si>
    <t xml:space="preserve">интервальная оценка</t>
  </si>
  <si>
    <t xml:space="preserve">&lt;a&lt;</t>
  </si>
  <si>
    <t xml:space="preserve">n=100, g=0,95, q=</t>
  </si>
  <si>
    <t xml:space="preserve">&lt;1(табл)</t>
  </si>
  <si>
    <t xml:space="preserve">&lt;s&lt;</t>
  </si>
  <si>
    <t xml:space="preserve">t1i</t>
  </si>
  <si>
    <t xml:space="preserve">t2i</t>
  </si>
  <si>
    <t xml:space="preserve">F(t1)</t>
  </si>
  <si>
    <t xml:space="preserve">F(t2)</t>
  </si>
  <si>
    <t xml:space="preserve">pi</t>
  </si>
  <si>
    <t xml:space="preserve">mti=npi</t>
  </si>
  <si>
    <t xml:space="preserve">"-Ґ</t>
  </si>
  <si>
    <t xml:space="preserve">pi/h</t>
  </si>
  <si>
    <t xml:space="preserve">n*i</t>
  </si>
  <si>
    <t xml:space="preserve">mi-mti</t>
  </si>
  <si>
    <t xml:space="preserve">(mi-mti)^2/mti</t>
  </si>
  <si>
    <t xml:space="preserve">контроль</t>
  </si>
  <si>
    <t xml:space="preserve">№4</t>
  </si>
  <si>
    <t xml:space="preserve">хи2</t>
  </si>
  <si>
    <t xml:space="preserve">стр.255</t>
  </si>
  <si>
    <t xml:space="preserve">m=s/sqr(n)=</t>
  </si>
  <si>
    <t xml:space="preserve">стр.249</t>
  </si>
  <si>
    <t xml:space="preserve">хи(0,05;6-3)</t>
  </si>
  <si>
    <t xml:space="preserve">Корреляционная таблица</t>
  </si>
  <si>
    <t xml:space="preserve">использовать меню данные -сортировка</t>
  </si>
  <si>
    <t xml:space="preserve">Yмин</t>
  </si>
  <si>
    <t xml:space="preserve">Yмакс</t>
  </si>
  <si>
    <t xml:space="preserve">№5</t>
  </si>
  <si>
    <t xml:space="preserve">3)</t>
  </si>
  <si>
    <t xml:space="preserve">№6</t>
  </si>
  <si>
    <t xml:space="preserve">4)</t>
  </si>
  <si>
    <t xml:space="preserve">m(xy)</t>
  </si>
  <si>
    <t xml:space="preserve">5)</t>
  </si>
  <si>
    <t xml:space="preserve">закон распределения Y</t>
  </si>
  <si>
    <t xml:space="preserve">(закон распределения X</t>
  </si>
  <si>
    <t xml:space="preserve">известен)</t>
  </si>
  <si>
    <t xml:space="preserve">№7</t>
  </si>
  <si>
    <t xml:space="preserve">7)</t>
  </si>
  <si>
    <t xml:space="preserve">p</t>
  </si>
  <si>
    <t xml:space="preserve">m(y)</t>
  </si>
  <si>
    <t xml:space="preserve">№8</t>
  </si>
  <si>
    <t xml:space="preserve">m(y2)</t>
  </si>
  <si>
    <t xml:space="preserve">rв=(m(xy)-m(x)m(y))/(sxsy)</t>
  </si>
  <si>
    <t xml:space="preserve">r(sy)/(sx)</t>
  </si>
  <si>
    <t xml:space="preserve">D(y)</t>
  </si>
  <si>
    <t xml:space="preserve">s(y)</t>
  </si>
  <si>
    <t xml:space="preserve">закон распределения X</t>
  </si>
  <si>
    <t xml:space="preserve">(известен)</t>
  </si>
  <si>
    <t xml:space="preserve">x</t>
  </si>
  <si>
    <t xml:space="preserve">m(x)</t>
  </si>
  <si>
    <r>
      <rPr>
        <sz val="10"/>
        <rFont val="Arial Cyr"/>
        <family val="0"/>
        <charset val="204"/>
      </rPr>
      <t xml:space="preserve">m(x</t>
    </r>
    <r>
      <rPr>
        <vertAlign val="superscript"/>
        <sz val="10"/>
        <rFont val="Arial Cyr"/>
        <family val="2"/>
        <charset val="204"/>
      </rPr>
      <t xml:space="preserve">2</t>
    </r>
    <r>
      <rPr>
        <sz val="10"/>
        <rFont val="Arial Cyr"/>
        <family val="0"/>
        <charset val="204"/>
      </rPr>
      <t xml:space="preserve">)</t>
    </r>
  </si>
  <si>
    <t xml:space="preserve">D(x)</t>
  </si>
  <si>
    <t xml:space="preserve">s(x)</t>
  </si>
  <si>
    <t xml:space="preserve">з396</t>
  </si>
  <si>
    <t xml:space="preserve">mx</t>
  </si>
  <si>
    <t xml:space="preserve">mx2</t>
  </si>
  <si>
    <t xml:space="preserve">D</t>
  </si>
  <si>
    <t xml:space="preserve">F</t>
  </si>
  <si>
    <t xml:space="preserve">Карман</t>
  </si>
  <si>
    <t xml:space="preserve">Частота</t>
  </si>
  <si>
    <t xml:space="preserve">Еще</t>
  </si>
  <si>
    <t xml:space="preserve">8 вариант</t>
  </si>
  <si>
    <t xml:space="preserve">частота</t>
  </si>
  <si>
    <t xml:space="preserve">накопл част</t>
  </si>
  <si>
    <t xml:space="preserve">сер инт</t>
  </si>
  <si>
    <t xml:space="preserve">отн частота</t>
  </si>
  <si>
    <t xml:space="preserve">накопл отн частота</t>
  </si>
  <si>
    <t xml:space="preserve">-∞</t>
  </si>
  <si>
    <t xml:space="preserve">+∞</t>
  </si>
  <si>
    <t xml:space="preserve">хи2 набл</t>
  </si>
  <si>
    <t xml:space="preserve">прил 5 с 392</t>
  </si>
  <si>
    <t xml:space="preserve">n</t>
  </si>
  <si>
    <t xml:space="preserve">X2</t>
  </si>
  <si>
    <t xml:space="preserve">XY</t>
  </si>
  <si>
    <t xml:space="preserve">Y2</t>
  </si>
  <si>
    <t xml:space="preserve">b0</t>
  </si>
  <si>
    <t xml:space="preserve">b1</t>
  </si>
  <si>
    <r>
      <rPr>
        <sz val="10"/>
        <rFont val="Symbol"/>
        <family val="1"/>
        <charset val="2"/>
      </rPr>
      <t xml:space="preserve">m</t>
    </r>
    <r>
      <rPr>
        <sz val="10"/>
        <rFont val="Arial Cyr"/>
        <family val="0"/>
        <charset val="204"/>
      </rPr>
      <t xml:space="preserve">=</t>
    </r>
  </si>
  <si>
    <t xml:space="preserve">Sx=</t>
  </si>
  <si>
    <t xml:space="preserve">Итого</t>
  </si>
  <si>
    <t xml:space="preserve">Sy=</t>
  </si>
  <si>
    <t xml:space="preserve">сред</t>
  </si>
  <si>
    <t xml:space="preserve">r=</t>
  </si>
  <si>
    <t xml:space="preserve">Проверить значимость коэф кореляции на уровне альфа = 0,95 задача 610 гмурман</t>
  </si>
  <si>
    <r>
      <rPr>
        <sz val="11"/>
        <color rgb="FF4D5156"/>
        <rFont val="Arial"/>
        <family val="2"/>
        <charset val="204"/>
      </rPr>
      <t xml:space="preserve">от 0 до 0,3, очень </t>
    </r>
    <r>
      <rPr>
        <b val="true"/>
        <sz val="11"/>
        <color rgb="FF5F6368"/>
        <rFont val="Arial"/>
        <family val="2"/>
        <charset val="204"/>
      </rPr>
      <t xml:space="preserve">слабая</t>
    </r>
    <r>
      <rPr>
        <sz val="11"/>
        <color rgb="FF4D5156"/>
        <rFont val="Arial"/>
        <family val="2"/>
        <charset val="204"/>
      </rPr>
      <t xml:space="preserve"> ; 
от 0,3 до 0,5, </t>
    </r>
    <r>
      <rPr>
        <b val="true"/>
        <sz val="11"/>
        <color rgb="FF5F6368"/>
        <rFont val="Arial"/>
        <family val="2"/>
        <charset val="204"/>
      </rPr>
      <t xml:space="preserve">слабая</t>
    </r>
    <r>
      <rPr>
        <sz val="11"/>
        <color rgb="FF4D5156"/>
        <rFont val="Arial"/>
        <family val="2"/>
        <charset val="204"/>
      </rPr>
      <t xml:space="preserve"> ;
 от 0, 5 до 0,7, </t>
    </r>
    <r>
      <rPr>
        <b val="true"/>
        <sz val="11"/>
        <color rgb="FF5F6368"/>
        <rFont val="Arial"/>
        <family val="2"/>
        <charset val="204"/>
      </rPr>
      <t xml:space="preserve">средняя</t>
    </r>
    <r>
      <rPr>
        <sz val="11"/>
        <color rgb="FF4D5156"/>
        <rFont val="Arial"/>
        <family val="2"/>
        <charset val="204"/>
      </rPr>
      <t xml:space="preserve"> ;
 от 0,7 до 0, 9, высокая</t>
    </r>
  </si>
  <si>
    <t xml:space="preserve">двустороний критерий стюдента, сначала т крит и расчет</t>
  </si>
  <si>
    <t xml:space="preserve">610 задание</t>
  </si>
  <si>
    <t xml:space="preserve">Тнабл</t>
  </si>
  <si>
    <t xml:space="preserve">y=</t>
  </si>
  <si>
    <t xml:space="preserve">*x+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</si>
</sst>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"/>
    <numFmt numFmtId="168" formatCode="0.0"/>
    <numFmt numFmtId="169" formatCode="0.0000"/>
  </numFmts>
  <fonts count="21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ymbol"/>
      <family val="1"/>
      <charset val="2"/>
    </font>
    <font>
      <sz val="10"/>
      <name val="Arial Cyr"/>
      <family val="2"/>
      <charset val="204"/>
    </font>
    <font>
      <sz val="13.5"/>
      <name val="Symbol"/>
      <family val="1"/>
      <charset val="2"/>
    </font>
    <font>
      <b val="true"/>
      <sz val="10"/>
      <name val="Arial Cyr"/>
      <family val="2"/>
      <charset val="204"/>
    </font>
    <font>
      <vertAlign val="superscript"/>
      <sz val="10"/>
      <name val="Arial Cyr"/>
      <family val="2"/>
      <charset val="204"/>
    </font>
    <font>
      <i val="true"/>
      <sz val="10"/>
      <name val="Arial Cyr"/>
      <family val="0"/>
      <charset val="204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Times New Roman"/>
      <family val="1"/>
    </font>
    <font>
      <sz val="11"/>
      <color rgb="FF4D5156"/>
      <name val="Arial"/>
      <family val="2"/>
      <charset val="204"/>
    </font>
    <font>
      <b val="true"/>
      <sz val="11"/>
      <color rgb="FF5F6368"/>
      <name val="Arial"/>
      <family val="2"/>
      <charset val="204"/>
    </font>
    <font>
      <sz val="10"/>
      <color rgb="FFFF0000"/>
      <name val="Arial Cyr"/>
      <family val="0"/>
      <charset val="204"/>
    </font>
    <font>
      <sz val="8"/>
      <name val="Arial Cyr"/>
      <family val="0"/>
      <charset val="204"/>
    </font>
    <font>
      <sz val="16"/>
      <color rgb="FF595959"/>
      <name val="Calibri Light"/>
      <family val="2"/>
    </font>
    <font>
      <sz val="9"/>
      <color rgb="FF595959"/>
      <name val="Calibri"/>
      <family val="2"/>
    </font>
    <font>
      <sz val="14"/>
      <color rgb="FF59595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CC99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rgb="FFFFCC00"/>
        <bgColor rgb="FFFFFF00"/>
      </patternFill>
    </fill>
    <fill>
      <patternFill patternType="solid">
        <fgColor rgb="FF969696"/>
        <bgColor rgb="FF8B8B8B"/>
      </patternFill>
    </fill>
    <fill>
      <patternFill patternType="solid">
        <fgColor rgb="FFCCFFFF"/>
        <bgColor rgb="FFCCFFFF"/>
      </patternFill>
    </fill>
    <fill>
      <patternFill patternType="solid">
        <fgColor rgb="FF99CC00"/>
        <bgColor rgb="FFFFCC00"/>
      </patternFill>
    </fill>
    <fill>
      <patternFill patternType="solid">
        <fgColor rgb="FF000080"/>
        <bgColor rgb="FF000080"/>
      </patternFill>
    </fill>
    <fill>
      <patternFill patternType="solid">
        <fgColor rgb="FFCCFFCC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CCFF"/>
        <bgColor rgb="FF33CCCC"/>
      </patternFill>
    </fill>
    <fill>
      <patternFill patternType="solid">
        <fgColor rgb="FF33CCCC"/>
        <bgColor rgb="FF00CCFF"/>
      </patternFill>
    </fill>
    <fill>
      <patternFill patternType="solid">
        <fgColor rgb="FF993366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6368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8B8B8B"/>
      <rgbColor rgb="FFFFCC99"/>
      <rgbColor rgb="995B9BD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595959"/>
      <rgbColor rgb="FF4D51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Гистограмма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"Частота"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Лист6!$A$2:$A$10</c:f>
              <c:strCache>
                <c:ptCount val="9"/>
                <c:pt idx="0">
                  <c:v>153,25</c:v>
                </c:pt>
                <c:pt idx="1">
                  <c:v>158,50</c:v>
                </c:pt>
                <c:pt idx="2">
                  <c:v>163,75</c:v>
                </c:pt>
                <c:pt idx="3">
                  <c:v>169,00</c:v>
                </c:pt>
                <c:pt idx="4">
                  <c:v>174,25</c:v>
                </c:pt>
                <c:pt idx="5">
                  <c:v>179,50</c:v>
                </c:pt>
                <c:pt idx="6">
                  <c:v>184,75</c:v>
                </c:pt>
                <c:pt idx="7">
                  <c:v>190,00</c:v>
                </c:pt>
                <c:pt idx="8">
                  <c:v>Еще</c:v>
                </c:pt>
              </c:strCache>
            </c:strRef>
          </c:cat>
          <c:val>
            <c:numRef>
              <c:f>Лист6!$B$2:$B$10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13</c:v>
                </c:pt>
                <c:pt idx="3">
                  <c:v>36</c:v>
                </c:pt>
                <c:pt idx="4">
                  <c:v>24</c:v>
                </c:pt>
                <c:pt idx="5">
                  <c:v>15</c:v>
                </c:pt>
                <c:pt idx="6">
                  <c:v>3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</c:ser>
        <c:gapWidth val="0"/>
        <c:overlap val="0"/>
        <c:axId val="63538444"/>
        <c:axId val="28035577"/>
      </c:barChart>
      <c:catAx>
        <c:axId val="63538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Карман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035577"/>
        <c:crosses val="autoZero"/>
        <c:auto val="1"/>
        <c:lblAlgn val="ctr"/>
        <c:lblOffset val="100"/>
        <c:noMultiLvlLbl val="0"/>
      </c:catAx>
      <c:valAx>
        <c:axId val="280355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5384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Полигон</a:t>
            </a:r>
          </a:p>
        </c:rich>
      </c:tx>
      <c:layout>
        <c:manualLayout>
          <c:xMode val="edge"/>
          <c:yMode val="edge"/>
          <c:x val="0.400195989748229"/>
          <c:y val="0.04349555761835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39710538218001"/>
          <c:y val="0.164434425142554"/>
          <c:w val="0.755766621438263"/>
          <c:h val="0.835432966450073"/>
        </c:manualLayout>
      </c:layout>
      <c:lineChart>
        <c:grouping val="standard"/>
        <c:varyColors val="0"/>
        <c:ser>
          <c:idx val="0"/>
          <c:order val="0"/>
          <c:tx>
            <c:strRef>
              <c:f>"Полигон"</c:f>
              <c:strCache>
                <c:ptCount val="1"/>
                <c:pt idx="0">
                  <c:v>Полигон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в7!$K$7:$K$14</c:f>
              <c:strCache>
                <c:ptCount val="8"/>
                <c:pt idx="0">
                  <c:v>157,50</c:v>
                </c:pt>
                <c:pt idx="1">
                  <c:v>160,50</c:v>
                </c:pt>
                <c:pt idx="2">
                  <c:v>163,50</c:v>
                </c:pt>
                <c:pt idx="3">
                  <c:v>166,50</c:v>
                </c:pt>
                <c:pt idx="4">
                  <c:v>169,50</c:v>
                </c:pt>
                <c:pt idx="5">
                  <c:v>172,50</c:v>
                </c:pt>
                <c:pt idx="6">
                  <c:v>175,50</c:v>
                </c:pt>
                <c:pt idx="7">
                  <c:v>178,50</c:v>
                </c:pt>
              </c:strCache>
            </c:strRef>
          </c:cat>
          <c:val>
            <c:numRef>
              <c:f>в7!$L$7:$L$14</c:f>
              <c:numCache>
                <c:formatCode>General</c:formatCode>
                <c:ptCount val="8"/>
                <c:pt idx="0">
                  <c:v>0.04</c:v>
                </c:pt>
                <c:pt idx="1">
                  <c:v>0.03</c:v>
                </c:pt>
                <c:pt idx="2">
                  <c:v>0.13</c:v>
                </c:pt>
                <c:pt idx="3">
                  <c:v>0.21</c:v>
                </c:pt>
                <c:pt idx="4">
                  <c:v>0.21</c:v>
                </c:pt>
                <c:pt idx="5">
                  <c:v>0.22</c:v>
                </c:pt>
                <c:pt idx="6">
                  <c:v>0.1</c:v>
                </c:pt>
                <c:pt idx="7">
                  <c:v>0.06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179340"/>
        <c:axId val="32598405"/>
      </c:lineChart>
      <c:catAx>
        <c:axId val="36179340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98405"/>
        <c:crossesAt val="0"/>
        <c:auto val="1"/>
        <c:lblAlgn val="ctr"/>
        <c:lblOffset val="100"/>
        <c:noMultiLvlLbl val="0"/>
      </c:catAx>
      <c:valAx>
        <c:axId val="32598405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179340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1679115625934"/>
          <c:y val="0.526846082460559"/>
          <c:w val="0.17388706304153"/>
          <c:h val="0.0794113747845685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80808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Кумулята</a:t>
            </a:r>
          </a:p>
        </c:rich>
      </c:tx>
      <c:layout>
        <c:manualLayout>
          <c:xMode val="edge"/>
          <c:yMode val="edge"/>
          <c:x val="0.350051387461459"/>
          <c:y val="0.074599542334096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375128468653649"/>
          <c:y val="0"/>
          <c:w val="0.766803699897225"/>
          <c:h val="0.999771167048055"/>
        </c:manualLayout>
      </c:layout>
      <c:lineChart>
        <c:grouping val="standard"/>
        <c:varyColors val="0"/>
        <c:ser>
          <c:idx val="0"/>
          <c:order val="0"/>
          <c:tx>
            <c:strRef>
              <c:f>"Кумулята"</c:f>
              <c:strCache>
                <c:ptCount val="1"/>
                <c:pt idx="0">
                  <c:v>Кумулята</c:v>
                </c:pt>
              </c:strCache>
            </c:strRef>
          </c:tx>
          <c:spPr>
            <a:solidFill>
              <a:srgbClr val="FF0000"/>
            </a:solidFill>
            <a:ln w="25200">
              <a:solidFill>
                <a:srgbClr val="FF0000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в7!$K$7:$K$14</c:f>
              <c:strCache>
                <c:ptCount val="8"/>
                <c:pt idx="0">
                  <c:v>157,50</c:v>
                </c:pt>
                <c:pt idx="1">
                  <c:v>160,50</c:v>
                </c:pt>
                <c:pt idx="2">
                  <c:v>163,50</c:v>
                </c:pt>
                <c:pt idx="3">
                  <c:v>166,50</c:v>
                </c:pt>
                <c:pt idx="4">
                  <c:v>169,50</c:v>
                </c:pt>
                <c:pt idx="5">
                  <c:v>172,50</c:v>
                </c:pt>
                <c:pt idx="6">
                  <c:v>175,50</c:v>
                </c:pt>
                <c:pt idx="7">
                  <c:v>178,50</c:v>
                </c:pt>
              </c:strCache>
            </c:strRef>
          </c:cat>
          <c:val>
            <c:numRef>
              <c:f>в7!$M$7:$M$14</c:f>
              <c:numCache>
                <c:formatCode>General</c:formatCode>
                <c:ptCount val="8"/>
                <c:pt idx="0">
                  <c:v>0.04</c:v>
                </c:pt>
                <c:pt idx="1">
                  <c:v>0.07</c:v>
                </c:pt>
                <c:pt idx="2">
                  <c:v>0.2</c:v>
                </c:pt>
                <c:pt idx="3">
                  <c:v>0.41</c:v>
                </c:pt>
                <c:pt idx="4">
                  <c:v>0.62</c:v>
                </c:pt>
                <c:pt idx="5">
                  <c:v>0.84</c:v>
                </c:pt>
                <c:pt idx="6">
                  <c:v>0.94</c:v>
                </c:pt>
                <c:pt idx="7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101313"/>
        <c:axId val="41466540"/>
      </c:lineChart>
      <c:catAx>
        <c:axId val="2710131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 rot="-2700000"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66540"/>
        <c:crossesAt val="0"/>
        <c:auto val="1"/>
        <c:lblAlgn val="ctr"/>
        <c:lblOffset val="100"/>
        <c:noMultiLvlLbl val="0"/>
      </c:catAx>
      <c:valAx>
        <c:axId val="41466540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101313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5116374448888"/>
          <c:y val="0.545579477782868"/>
          <c:w val="0.253152876038142"/>
          <c:h val="0.137196518552451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80808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829793689320388"/>
          <c:y val="0.0476685283803091"/>
          <c:w val="0.564244538834951"/>
          <c:h val="0.85452656189115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12600">
              <a:noFill/>
            </a:ln>
          </c:spPr>
          <c:marker>
            <c:symbol val="diamond"/>
            <c:size val="7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в7!$A$2:$A$101</c:f>
              <c:numCache>
                <c:formatCode>General</c:formatCode>
                <c:ptCount val="100"/>
                <c:pt idx="0">
                  <c:v>174</c:v>
                </c:pt>
                <c:pt idx="1">
                  <c:v>166</c:v>
                </c:pt>
                <c:pt idx="2">
                  <c:v>161</c:v>
                </c:pt>
                <c:pt idx="3">
                  <c:v>172</c:v>
                </c:pt>
                <c:pt idx="4">
                  <c:v>166</c:v>
                </c:pt>
                <c:pt idx="5">
                  <c:v>169</c:v>
                </c:pt>
                <c:pt idx="6">
                  <c:v>168</c:v>
                </c:pt>
                <c:pt idx="7">
                  <c:v>167</c:v>
                </c:pt>
                <c:pt idx="8">
                  <c:v>178</c:v>
                </c:pt>
                <c:pt idx="9">
                  <c:v>165</c:v>
                </c:pt>
                <c:pt idx="10">
                  <c:v>175</c:v>
                </c:pt>
                <c:pt idx="11">
                  <c:v>165</c:v>
                </c:pt>
                <c:pt idx="12">
                  <c:v>172</c:v>
                </c:pt>
                <c:pt idx="13">
                  <c:v>173</c:v>
                </c:pt>
                <c:pt idx="14">
                  <c:v>167</c:v>
                </c:pt>
                <c:pt idx="15">
                  <c:v>163</c:v>
                </c:pt>
                <c:pt idx="16">
                  <c:v>173</c:v>
                </c:pt>
                <c:pt idx="17">
                  <c:v>164</c:v>
                </c:pt>
                <c:pt idx="18">
                  <c:v>170</c:v>
                </c:pt>
                <c:pt idx="19">
                  <c:v>164</c:v>
                </c:pt>
                <c:pt idx="20">
                  <c:v>170</c:v>
                </c:pt>
                <c:pt idx="21">
                  <c:v>180</c:v>
                </c:pt>
                <c:pt idx="22">
                  <c:v>176</c:v>
                </c:pt>
                <c:pt idx="23">
                  <c:v>173</c:v>
                </c:pt>
                <c:pt idx="24">
                  <c:v>168</c:v>
                </c:pt>
                <c:pt idx="25">
                  <c:v>161</c:v>
                </c:pt>
                <c:pt idx="26">
                  <c:v>164</c:v>
                </c:pt>
                <c:pt idx="27">
                  <c:v>167</c:v>
                </c:pt>
                <c:pt idx="28">
                  <c:v>176</c:v>
                </c:pt>
                <c:pt idx="29">
                  <c:v>165</c:v>
                </c:pt>
                <c:pt idx="30">
                  <c:v>166</c:v>
                </c:pt>
                <c:pt idx="31">
                  <c:v>175</c:v>
                </c:pt>
                <c:pt idx="32">
                  <c:v>164</c:v>
                </c:pt>
                <c:pt idx="33">
                  <c:v>171</c:v>
                </c:pt>
                <c:pt idx="34">
                  <c:v>174</c:v>
                </c:pt>
                <c:pt idx="35">
                  <c:v>167</c:v>
                </c:pt>
                <c:pt idx="36">
                  <c:v>169</c:v>
                </c:pt>
                <c:pt idx="37">
                  <c:v>162</c:v>
                </c:pt>
                <c:pt idx="38">
                  <c:v>169</c:v>
                </c:pt>
                <c:pt idx="39">
                  <c:v>173</c:v>
                </c:pt>
                <c:pt idx="40">
                  <c:v>172</c:v>
                </c:pt>
                <c:pt idx="41">
                  <c:v>164</c:v>
                </c:pt>
                <c:pt idx="42">
                  <c:v>170</c:v>
                </c:pt>
                <c:pt idx="43">
                  <c:v>167</c:v>
                </c:pt>
                <c:pt idx="44">
                  <c:v>166</c:v>
                </c:pt>
                <c:pt idx="45">
                  <c:v>156</c:v>
                </c:pt>
                <c:pt idx="46">
                  <c:v>166</c:v>
                </c:pt>
                <c:pt idx="47">
                  <c:v>156</c:v>
                </c:pt>
                <c:pt idx="48">
                  <c:v>169</c:v>
                </c:pt>
                <c:pt idx="49">
                  <c:v>165</c:v>
                </c:pt>
                <c:pt idx="50">
                  <c:v>172</c:v>
                </c:pt>
                <c:pt idx="51">
                  <c:v>178</c:v>
                </c:pt>
                <c:pt idx="52">
                  <c:v>170</c:v>
                </c:pt>
                <c:pt idx="53">
                  <c:v>167</c:v>
                </c:pt>
                <c:pt idx="54">
                  <c:v>166</c:v>
                </c:pt>
                <c:pt idx="55">
                  <c:v>163</c:v>
                </c:pt>
                <c:pt idx="56">
                  <c:v>157</c:v>
                </c:pt>
                <c:pt idx="57">
                  <c:v>173</c:v>
                </c:pt>
                <c:pt idx="58">
                  <c:v>176</c:v>
                </c:pt>
                <c:pt idx="59">
                  <c:v>167</c:v>
                </c:pt>
                <c:pt idx="60">
                  <c:v>168</c:v>
                </c:pt>
                <c:pt idx="61">
                  <c:v>172</c:v>
                </c:pt>
                <c:pt idx="62">
                  <c:v>168</c:v>
                </c:pt>
                <c:pt idx="63">
                  <c:v>177</c:v>
                </c:pt>
                <c:pt idx="64">
                  <c:v>163</c:v>
                </c:pt>
                <c:pt idx="65">
                  <c:v>169</c:v>
                </c:pt>
                <c:pt idx="66">
                  <c:v>173</c:v>
                </c:pt>
                <c:pt idx="67">
                  <c:v>178</c:v>
                </c:pt>
                <c:pt idx="68">
                  <c:v>171</c:v>
                </c:pt>
                <c:pt idx="69">
                  <c:v>161</c:v>
                </c:pt>
                <c:pt idx="70">
                  <c:v>162</c:v>
                </c:pt>
                <c:pt idx="71">
                  <c:v>167</c:v>
                </c:pt>
                <c:pt idx="72">
                  <c:v>174</c:v>
                </c:pt>
                <c:pt idx="73">
                  <c:v>167</c:v>
                </c:pt>
                <c:pt idx="74">
                  <c:v>169</c:v>
                </c:pt>
                <c:pt idx="75">
                  <c:v>176</c:v>
                </c:pt>
                <c:pt idx="76">
                  <c:v>170</c:v>
                </c:pt>
                <c:pt idx="77">
                  <c:v>168</c:v>
                </c:pt>
                <c:pt idx="78">
                  <c:v>172</c:v>
                </c:pt>
                <c:pt idx="79">
                  <c:v>164</c:v>
                </c:pt>
                <c:pt idx="80">
                  <c:v>178</c:v>
                </c:pt>
                <c:pt idx="81">
                  <c:v>172</c:v>
                </c:pt>
                <c:pt idx="82">
                  <c:v>171</c:v>
                </c:pt>
                <c:pt idx="83">
                  <c:v>167</c:v>
                </c:pt>
                <c:pt idx="84">
                  <c:v>170</c:v>
                </c:pt>
                <c:pt idx="85">
                  <c:v>170</c:v>
                </c:pt>
                <c:pt idx="86">
                  <c:v>167</c:v>
                </c:pt>
                <c:pt idx="87">
                  <c:v>171</c:v>
                </c:pt>
                <c:pt idx="88">
                  <c:v>168</c:v>
                </c:pt>
                <c:pt idx="89">
                  <c:v>173</c:v>
                </c:pt>
                <c:pt idx="90">
                  <c:v>173</c:v>
                </c:pt>
                <c:pt idx="91">
                  <c:v>170</c:v>
                </c:pt>
                <c:pt idx="92">
                  <c:v>172</c:v>
                </c:pt>
                <c:pt idx="93">
                  <c:v>162</c:v>
                </c:pt>
                <c:pt idx="94">
                  <c:v>171</c:v>
                </c:pt>
                <c:pt idx="95">
                  <c:v>173</c:v>
                </c:pt>
                <c:pt idx="96">
                  <c:v>156</c:v>
                </c:pt>
                <c:pt idx="97">
                  <c:v>168</c:v>
                </c:pt>
                <c:pt idx="98">
                  <c:v>176</c:v>
                </c:pt>
                <c:pt idx="99">
                  <c:v>164</c:v>
                </c:pt>
              </c:numCache>
            </c:numRef>
          </c:xVal>
          <c:yVal>
            <c:numRef>
              <c:f>в7!$B$1:$B$100</c:f>
              <c:numCache>
                <c:formatCode>General</c:formatCode>
                <c:ptCount val="100"/>
                <c:pt idx="1">
                  <c:v>70</c:v>
                </c:pt>
                <c:pt idx="2">
                  <c:v>57</c:v>
                </c:pt>
                <c:pt idx="3">
                  <c:v>55</c:v>
                </c:pt>
                <c:pt idx="4">
                  <c:v>60</c:v>
                </c:pt>
                <c:pt idx="5">
                  <c:v>57</c:v>
                </c:pt>
                <c:pt idx="6">
                  <c:v>62</c:v>
                </c:pt>
                <c:pt idx="7">
                  <c:v>70</c:v>
                </c:pt>
                <c:pt idx="8">
                  <c:v>65</c:v>
                </c:pt>
                <c:pt idx="9">
                  <c:v>80</c:v>
                </c:pt>
                <c:pt idx="10">
                  <c:v>68</c:v>
                </c:pt>
                <c:pt idx="11">
                  <c:v>64</c:v>
                </c:pt>
                <c:pt idx="12">
                  <c:v>55</c:v>
                </c:pt>
                <c:pt idx="13">
                  <c:v>78</c:v>
                </c:pt>
                <c:pt idx="14">
                  <c:v>65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68</c:v>
                </c:pt>
                <c:pt idx="19">
                  <c:v>68</c:v>
                </c:pt>
                <c:pt idx="20">
                  <c:v>60</c:v>
                </c:pt>
                <c:pt idx="21">
                  <c:v>63</c:v>
                </c:pt>
                <c:pt idx="22">
                  <c:v>73</c:v>
                </c:pt>
                <c:pt idx="23">
                  <c:v>81</c:v>
                </c:pt>
                <c:pt idx="24">
                  <c:v>74</c:v>
                </c:pt>
                <c:pt idx="25">
                  <c:v>66</c:v>
                </c:pt>
                <c:pt idx="26">
                  <c:v>55</c:v>
                </c:pt>
                <c:pt idx="27">
                  <c:v>62</c:v>
                </c:pt>
                <c:pt idx="28">
                  <c:v>61</c:v>
                </c:pt>
                <c:pt idx="29">
                  <c:v>77</c:v>
                </c:pt>
                <c:pt idx="30">
                  <c:v>55</c:v>
                </c:pt>
                <c:pt idx="31">
                  <c:v>61</c:v>
                </c:pt>
                <c:pt idx="32">
                  <c:v>66</c:v>
                </c:pt>
                <c:pt idx="33">
                  <c:v>57</c:v>
                </c:pt>
                <c:pt idx="34">
                  <c:v>65</c:v>
                </c:pt>
                <c:pt idx="35">
                  <c:v>79</c:v>
                </c:pt>
                <c:pt idx="36">
                  <c:v>71</c:v>
                </c:pt>
                <c:pt idx="37">
                  <c:v>59</c:v>
                </c:pt>
                <c:pt idx="38">
                  <c:v>52</c:v>
                </c:pt>
                <c:pt idx="39">
                  <c:v>68</c:v>
                </c:pt>
                <c:pt idx="40">
                  <c:v>66</c:v>
                </c:pt>
                <c:pt idx="41">
                  <c:v>66</c:v>
                </c:pt>
                <c:pt idx="42">
                  <c:v>60</c:v>
                </c:pt>
                <c:pt idx="43">
                  <c:v>63</c:v>
                </c:pt>
                <c:pt idx="44">
                  <c:v>65</c:v>
                </c:pt>
                <c:pt idx="45">
                  <c:v>55</c:v>
                </c:pt>
                <c:pt idx="46">
                  <c:v>54</c:v>
                </c:pt>
                <c:pt idx="47">
                  <c:v>55</c:v>
                </c:pt>
                <c:pt idx="48">
                  <c:v>54</c:v>
                </c:pt>
                <c:pt idx="49">
                  <c:v>57</c:v>
                </c:pt>
                <c:pt idx="50">
                  <c:v>55</c:v>
                </c:pt>
                <c:pt idx="51">
                  <c:v>78</c:v>
                </c:pt>
                <c:pt idx="52">
                  <c:v>60</c:v>
                </c:pt>
                <c:pt idx="53">
                  <c:v>63</c:v>
                </c:pt>
                <c:pt idx="54">
                  <c:v>61</c:v>
                </c:pt>
                <c:pt idx="55">
                  <c:v>62</c:v>
                </c:pt>
                <c:pt idx="56">
                  <c:v>60</c:v>
                </c:pt>
                <c:pt idx="57">
                  <c:v>60</c:v>
                </c:pt>
                <c:pt idx="58">
                  <c:v>66</c:v>
                </c:pt>
                <c:pt idx="59">
                  <c:v>65</c:v>
                </c:pt>
                <c:pt idx="60">
                  <c:v>62</c:v>
                </c:pt>
                <c:pt idx="61">
                  <c:v>64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68</c:v>
                </c:pt>
                <c:pt idx="66">
                  <c:v>66</c:v>
                </c:pt>
                <c:pt idx="67">
                  <c:v>77</c:v>
                </c:pt>
                <c:pt idx="68">
                  <c:v>71</c:v>
                </c:pt>
                <c:pt idx="69">
                  <c:v>64</c:v>
                </c:pt>
                <c:pt idx="70">
                  <c:v>51</c:v>
                </c:pt>
                <c:pt idx="71">
                  <c:v>65</c:v>
                </c:pt>
                <c:pt idx="72">
                  <c:v>63</c:v>
                </c:pt>
                <c:pt idx="73">
                  <c:v>68</c:v>
                </c:pt>
                <c:pt idx="74">
                  <c:v>65</c:v>
                </c:pt>
                <c:pt idx="75">
                  <c:v>61</c:v>
                </c:pt>
                <c:pt idx="76">
                  <c:v>70</c:v>
                </c:pt>
                <c:pt idx="77">
                  <c:v>67</c:v>
                </c:pt>
                <c:pt idx="78">
                  <c:v>65</c:v>
                </c:pt>
                <c:pt idx="79">
                  <c:v>59</c:v>
                </c:pt>
                <c:pt idx="80">
                  <c:v>60</c:v>
                </c:pt>
                <c:pt idx="81">
                  <c:v>80</c:v>
                </c:pt>
                <c:pt idx="82">
                  <c:v>73</c:v>
                </c:pt>
                <c:pt idx="83">
                  <c:v>65</c:v>
                </c:pt>
                <c:pt idx="84">
                  <c:v>52</c:v>
                </c:pt>
                <c:pt idx="85">
                  <c:v>61</c:v>
                </c:pt>
                <c:pt idx="86">
                  <c:v>61</c:v>
                </c:pt>
                <c:pt idx="87">
                  <c:v>57</c:v>
                </c:pt>
                <c:pt idx="88">
                  <c:v>63</c:v>
                </c:pt>
                <c:pt idx="89">
                  <c:v>58</c:v>
                </c:pt>
                <c:pt idx="90">
                  <c:v>63</c:v>
                </c:pt>
                <c:pt idx="91">
                  <c:v>72</c:v>
                </c:pt>
                <c:pt idx="92">
                  <c:v>65</c:v>
                </c:pt>
                <c:pt idx="93">
                  <c:v>70</c:v>
                </c:pt>
                <c:pt idx="94">
                  <c:v>56</c:v>
                </c:pt>
                <c:pt idx="95">
                  <c:v>63</c:v>
                </c:pt>
                <c:pt idx="96">
                  <c:v>69</c:v>
                </c:pt>
                <c:pt idx="97">
                  <c:v>54</c:v>
                </c:pt>
                <c:pt idx="98">
                  <c:v>70</c:v>
                </c:pt>
                <c:pt idx="99">
                  <c:v>70</c:v>
                </c:pt>
              </c:numCache>
            </c:numRef>
          </c:yVal>
          <c:smooth val="0"/>
        </c:ser>
        <c:axId val="83018171"/>
        <c:axId val="54354500"/>
      </c:scatterChart>
      <c:valAx>
        <c:axId val="830181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354500"/>
        <c:crossesAt val="0"/>
        <c:crossBetween val="midCat"/>
      </c:valAx>
      <c:valAx>
        <c:axId val="54354500"/>
        <c:scaling>
          <c:orientation val="minMax"/>
        </c:scaling>
        <c:delete val="0"/>
        <c:axPos val="l"/>
        <c:majorGridlines>
          <c:spPr>
            <a:ln w="6480">
              <a:solidFill>
                <a:srgbClr val="808080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018171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695816341942305"/>
          <c:y val="0.415168100078186"/>
          <c:w val="0.269068116598701"/>
          <c:h val="0.160802710450873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80808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600" b="0" u="none" spc="51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 Light"/>
              </a:rPr>
              <a:t>Эмперическое и теоретическое</a:t>
            </a:r>
          </a:p>
          <a:p>
            <a:pPr>
              <a:defRPr sz="1300" b="0" u="none" strike="noStrike">
                <a:uFillTx/>
                <a:latin typeface="Arial"/>
              </a:defRPr>
            </a:pP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53190857821312"/>
          <c:y val="0.12048581255374"/>
          <c:w val="0.879266844761057"/>
          <c:h val="0.76966895958727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5B9BD5">
                <a:alpha val="60000"/>
              </a:srgbClr>
            </a:solidFill>
            <a:ln cap="rnd" w="19080">
              <a:solidFill>
                <a:schemeClr val="accent1">
                  <a:alpha val="60000"/>
                </a:schemeClr>
              </a:solidFill>
              <a:round/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5840">
                <a:solidFill>
                  <a:schemeClr val="accent1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в7!$Y$67:$Y$74</c:f>
              <c:numCache>
                <c:formatCode>0.00</c:formatCode>
                <c:ptCount val="8"/>
                <c:pt idx="0">
                  <c:v>157.5</c:v>
                </c:pt>
                <c:pt idx="1">
                  <c:v>160.5</c:v>
                </c:pt>
                <c:pt idx="2">
                  <c:v>163.5</c:v>
                </c:pt>
                <c:pt idx="3">
                  <c:v>166.5</c:v>
                </c:pt>
                <c:pt idx="4">
                  <c:v>169.5</c:v>
                </c:pt>
                <c:pt idx="5">
                  <c:v>172.5</c:v>
                </c:pt>
                <c:pt idx="6">
                  <c:v>175.5</c:v>
                </c:pt>
                <c:pt idx="7">
                  <c:v>178.5</c:v>
                </c:pt>
              </c:numCache>
            </c:numRef>
          </c:xVal>
          <c:yVal>
            <c:numRef>
              <c:f>в7!$Z$67:$Z$74</c:f>
              <c:numCache>
                <c:formatCode>0.00</c:formatCode>
                <c:ptCount val="8"/>
                <c:pt idx="0">
                  <c:v>52.875</c:v>
                </c:pt>
                <c:pt idx="1">
                  <c:v>52.875</c:v>
                </c:pt>
                <c:pt idx="2">
                  <c:v>56.3365384615385</c:v>
                </c:pt>
                <c:pt idx="3">
                  <c:v>61.5208333333333</c:v>
                </c:pt>
                <c:pt idx="4">
                  <c:v>66.15625</c:v>
                </c:pt>
                <c:pt idx="5">
                  <c:v>72.125</c:v>
                </c:pt>
                <c:pt idx="6">
                  <c:v>77.875</c:v>
                </c:pt>
                <c:pt idx="7">
                  <c:v>79.125</c:v>
                </c:pt>
              </c:numCache>
            </c:numRef>
          </c:yVal>
          <c:smooth val="0"/>
        </c:ser>
        <c:axId val="35449169"/>
        <c:axId val="23247222"/>
      </c:scatterChart>
      <c:valAx>
        <c:axId val="35449169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pc="2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23247222"/>
        <c:crosses val="autoZero"/>
        <c:crossBetween val="midCat"/>
      </c:valAx>
      <c:valAx>
        <c:axId val="2324722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pc="2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544916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Гистограмма</a:t>
            </a: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распределения относительных частот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в7!$A$2:$A$101</c:f>
              <c:numCache>
                <c:formatCode>General</c:formatCode>
                <c:ptCount val="100"/>
                <c:pt idx="0">
                  <c:v>174</c:v>
                </c:pt>
                <c:pt idx="1">
                  <c:v>166</c:v>
                </c:pt>
                <c:pt idx="2">
                  <c:v>161</c:v>
                </c:pt>
                <c:pt idx="3">
                  <c:v>172</c:v>
                </c:pt>
                <c:pt idx="4">
                  <c:v>166</c:v>
                </c:pt>
                <c:pt idx="5">
                  <c:v>169</c:v>
                </c:pt>
                <c:pt idx="6">
                  <c:v>168</c:v>
                </c:pt>
                <c:pt idx="7">
                  <c:v>167</c:v>
                </c:pt>
                <c:pt idx="8">
                  <c:v>178</c:v>
                </c:pt>
                <c:pt idx="9">
                  <c:v>165</c:v>
                </c:pt>
                <c:pt idx="10">
                  <c:v>175</c:v>
                </c:pt>
                <c:pt idx="11">
                  <c:v>165</c:v>
                </c:pt>
                <c:pt idx="12">
                  <c:v>172</c:v>
                </c:pt>
                <c:pt idx="13">
                  <c:v>173</c:v>
                </c:pt>
                <c:pt idx="14">
                  <c:v>167</c:v>
                </c:pt>
                <c:pt idx="15">
                  <c:v>163</c:v>
                </c:pt>
                <c:pt idx="16">
                  <c:v>173</c:v>
                </c:pt>
                <c:pt idx="17">
                  <c:v>164</c:v>
                </c:pt>
                <c:pt idx="18">
                  <c:v>170</c:v>
                </c:pt>
                <c:pt idx="19">
                  <c:v>164</c:v>
                </c:pt>
                <c:pt idx="20">
                  <c:v>170</c:v>
                </c:pt>
                <c:pt idx="21">
                  <c:v>180</c:v>
                </c:pt>
                <c:pt idx="22">
                  <c:v>176</c:v>
                </c:pt>
                <c:pt idx="23">
                  <c:v>173</c:v>
                </c:pt>
                <c:pt idx="24">
                  <c:v>168</c:v>
                </c:pt>
                <c:pt idx="25">
                  <c:v>161</c:v>
                </c:pt>
                <c:pt idx="26">
                  <c:v>164</c:v>
                </c:pt>
                <c:pt idx="27">
                  <c:v>167</c:v>
                </c:pt>
                <c:pt idx="28">
                  <c:v>176</c:v>
                </c:pt>
                <c:pt idx="29">
                  <c:v>165</c:v>
                </c:pt>
                <c:pt idx="30">
                  <c:v>166</c:v>
                </c:pt>
                <c:pt idx="31">
                  <c:v>175</c:v>
                </c:pt>
                <c:pt idx="32">
                  <c:v>164</c:v>
                </c:pt>
                <c:pt idx="33">
                  <c:v>171</c:v>
                </c:pt>
                <c:pt idx="34">
                  <c:v>174</c:v>
                </c:pt>
                <c:pt idx="35">
                  <c:v>167</c:v>
                </c:pt>
                <c:pt idx="36">
                  <c:v>169</c:v>
                </c:pt>
                <c:pt idx="37">
                  <c:v>162</c:v>
                </c:pt>
                <c:pt idx="38">
                  <c:v>169</c:v>
                </c:pt>
                <c:pt idx="39">
                  <c:v>173</c:v>
                </c:pt>
                <c:pt idx="40">
                  <c:v>172</c:v>
                </c:pt>
                <c:pt idx="41">
                  <c:v>164</c:v>
                </c:pt>
                <c:pt idx="42">
                  <c:v>170</c:v>
                </c:pt>
                <c:pt idx="43">
                  <c:v>167</c:v>
                </c:pt>
                <c:pt idx="44">
                  <c:v>166</c:v>
                </c:pt>
                <c:pt idx="45">
                  <c:v>156</c:v>
                </c:pt>
                <c:pt idx="46">
                  <c:v>166</c:v>
                </c:pt>
                <c:pt idx="47">
                  <c:v>156</c:v>
                </c:pt>
                <c:pt idx="48">
                  <c:v>169</c:v>
                </c:pt>
                <c:pt idx="49">
                  <c:v>165</c:v>
                </c:pt>
                <c:pt idx="50">
                  <c:v>172</c:v>
                </c:pt>
                <c:pt idx="51">
                  <c:v>178</c:v>
                </c:pt>
                <c:pt idx="52">
                  <c:v>170</c:v>
                </c:pt>
                <c:pt idx="53">
                  <c:v>167</c:v>
                </c:pt>
                <c:pt idx="54">
                  <c:v>166</c:v>
                </c:pt>
                <c:pt idx="55">
                  <c:v>163</c:v>
                </c:pt>
                <c:pt idx="56">
                  <c:v>157</c:v>
                </c:pt>
                <c:pt idx="57">
                  <c:v>173</c:v>
                </c:pt>
                <c:pt idx="58">
                  <c:v>176</c:v>
                </c:pt>
                <c:pt idx="59">
                  <c:v>167</c:v>
                </c:pt>
                <c:pt idx="60">
                  <c:v>168</c:v>
                </c:pt>
                <c:pt idx="61">
                  <c:v>172</c:v>
                </c:pt>
                <c:pt idx="62">
                  <c:v>168</c:v>
                </c:pt>
                <c:pt idx="63">
                  <c:v>177</c:v>
                </c:pt>
                <c:pt idx="64">
                  <c:v>163</c:v>
                </c:pt>
                <c:pt idx="65">
                  <c:v>169</c:v>
                </c:pt>
                <c:pt idx="66">
                  <c:v>173</c:v>
                </c:pt>
                <c:pt idx="67">
                  <c:v>178</c:v>
                </c:pt>
                <c:pt idx="68">
                  <c:v>171</c:v>
                </c:pt>
                <c:pt idx="69">
                  <c:v>161</c:v>
                </c:pt>
                <c:pt idx="70">
                  <c:v>162</c:v>
                </c:pt>
                <c:pt idx="71">
                  <c:v>167</c:v>
                </c:pt>
                <c:pt idx="72">
                  <c:v>174</c:v>
                </c:pt>
                <c:pt idx="73">
                  <c:v>167</c:v>
                </c:pt>
                <c:pt idx="74">
                  <c:v>169</c:v>
                </c:pt>
                <c:pt idx="75">
                  <c:v>176</c:v>
                </c:pt>
                <c:pt idx="76">
                  <c:v>170</c:v>
                </c:pt>
                <c:pt idx="77">
                  <c:v>168</c:v>
                </c:pt>
                <c:pt idx="78">
                  <c:v>172</c:v>
                </c:pt>
                <c:pt idx="79">
                  <c:v>164</c:v>
                </c:pt>
                <c:pt idx="80">
                  <c:v>178</c:v>
                </c:pt>
                <c:pt idx="81">
                  <c:v>172</c:v>
                </c:pt>
                <c:pt idx="82">
                  <c:v>171</c:v>
                </c:pt>
                <c:pt idx="83">
                  <c:v>167</c:v>
                </c:pt>
                <c:pt idx="84">
                  <c:v>170</c:v>
                </c:pt>
                <c:pt idx="85">
                  <c:v>170</c:v>
                </c:pt>
                <c:pt idx="86">
                  <c:v>167</c:v>
                </c:pt>
                <c:pt idx="87">
                  <c:v>171</c:v>
                </c:pt>
                <c:pt idx="88">
                  <c:v>168</c:v>
                </c:pt>
                <c:pt idx="89">
                  <c:v>173</c:v>
                </c:pt>
                <c:pt idx="90">
                  <c:v>173</c:v>
                </c:pt>
                <c:pt idx="91">
                  <c:v>170</c:v>
                </c:pt>
                <c:pt idx="92">
                  <c:v>172</c:v>
                </c:pt>
                <c:pt idx="93">
                  <c:v>162</c:v>
                </c:pt>
                <c:pt idx="94">
                  <c:v>171</c:v>
                </c:pt>
                <c:pt idx="95">
                  <c:v>173</c:v>
                </c:pt>
                <c:pt idx="96">
                  <c:v>156</c:v>
                </c:pt>
                <c:pt idx="97">
                  <c:v>168</c:v>
                </c:pt>
                <c:pt idx="98">
                  <c:v>176</c:v>
                </c:pt>
                <c:pt idx="99">
                  <c:v>164</c:v>
                </c:pt>
              </c:numCache>
            </c:numRef>
          </c:xVal>
          <c:yVal>
            <c:numRef>
              <c:f>в7!$B$1:$B$100</c:f>
              <c:numCache>
                <c:formatCode>General</c:formatCode>
                <c:ptCount val="100"/>
                <c:pt idx="1">
                  <c:v>70</c:v>
                </c:pt>
                <c:pt idx="2">
                  <c:v>57</c:v>
                </c:pt>
                <c:pt idx="3">
                  <c:v>55</c:v>
                </c:pt>
                <c:pt idx="4">
                  <c:v>60</c:v>
                </c:pt>
                <c:pt idx="5">
                  <c:v>57</c:v>
                </c:pt>
                <c:pt idx="6">
                  <c:v>62</c:v>
                </c:pt>
                <c:pt idx="7">
                  <c:v>70</c:v>
                </c:pt>
                <c:pt idx="8">
                  <c:v>65</c:v>
                </c:pt>
                <c:pt idx="9">
                  <c:v>80</c:v>
                </c:pt>
                <c:pt idx="10">
                  <c:v>68</c:v>
                </c:pt>
                <c:pt idx="11">
                  <c:v>64</c:v>
                </c:pt>
                <c:pt idx="12">
                  <c:v>55</c:v>
                </c:pt>
                <c:pt idx="13">
                  <c:v>78</c:v>
                </c:pt>
                <c:pt idx="14">
                  <c:v>65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68</c:v>
                </c:pt>
                <c:pt idx="19">
                  <c:v>68</c:v>
                </c:pt>
                <c:pt idx="20">
                  <c:v>60</c:v>
                </c:pt>
                <c:pt idx="21">
                  <c:v>63</c:v>
                </c:pt>
                <c:pt idx="22">
                  <c:v>73</c:v>
                </c:pt>
                <c:pt idx="23">
                  <c:v>81</c:v>
                </c:pt>
                <c:pt idx="24">
                  <c:v>74</c:v>
                </c:pt>
                <c:pt idx="25">
                  <c:v>66</c:v>
                </c:pt>
                <c:pt idx="26">
                  <c:v>55</c:v>
                </c:pt>
                <c:pt idx="27">
                  <c:v>62</c:v>
                </c:pt>
                <c:pt idx="28">
                  <c:v>61</c:v>
                </c:pt>
                <c:pt idx="29">
                  <c:v>77</c:v>
                </c:pt>
                <c:pt idx="30">
                  <c:v>55</c:v>
                </c:pt>
                <c:pt idx="31">
                  <c:v>61</c:v>
                </c:pt>
                <c:pt idx="32">
                  <c:v>66</c:v>
                </c:pt>
                <c:pt idx="33">
                  <c:v>57</c:v>
                </c:pt>
                <c:pt idx="34">
                  <c:v>65</c:v>
                </c:pt>
                <c:pt idx="35">
                  <c:v>79</c:v>
                </c:pt>
                <c:pt idx="36">
                  <c:v>71</c:v>
                </c:pt>
                <c:pt idx="37">
                  <c:v>59</c:v>
                </c:pt>
                <c:pt idx="38">
                  <c:v>52</c:v>
                </c:pt>
                <c:pt idx="39">
                  <c:v>68</c:v>
                </c:pt>
                <c:pt idx="40">
                  <c:v>66</c:v>
                </c:pt>
                <c:pt idx="41">
                  <c:v>66</c:v>
                </c:pt>
                <c:pt idx="42">
                  <c:v>60</c:v>
                </c:pt>
                <c:pt idx="43">
                  <c:v>63</c:v>
                </c:pt>
                <c:pt idx="44">
                  <c:v>65</c:v>
                </c:pt>
                <c:pt idx="45">
                  <c:v>55</c:v>
                </c:pt>
                <c:pt idx="46">
                  <c:v>54</c:v>
                </c:pt>
                <c:pt idx="47">
                  <c:v>55</c:v>
                </c:pt>
                <c:pt idx="48">
                  <c:v>54</c:v>
                </c:pt>
                <c:pt idx="49">
                  <c:v>57</c:v>
                </c:pt>
                <c:pt idx="50">
                  <c:v>55</c:v>
                </c:pt>
                <c:pt idx="51">
                  <c:v>78</c:v>
                </c:pt>
                <c:pt idx="52">
                  <c:v>60</c:v>
                </c:pt>
                <c:pt idx="53">
                  <c:v>63</c:v>
                </c:pt>
                <c:pt idx="54">
                  <c:v>61</c:v>
                </c:pt>
                <c:pt idx="55">
                  <c:v>62</c:v>
                </c:pt>
                <c:pt idx="56">
                  <c:v>60</c:v>
                </c:pt>
                <c:pt idx="57">
                  <c:v>60</c:v>
                </c:pt>
                <c:pt idx="58">
                  <c:v>66</c:v>
                </c:pt>
                <c:pt idx="59">
                  <c:v>65</c:v>
                </c:pt>
                <c:pt idx="60">
                  <c:v>62</c:v>
                </c:pt>
                <c:pt idx="61">
                  <c:v>64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68</c:v>
                </c:pt>
                <c:pt idx="66">
                  <c:v>66</c:v>
                </c:pt>
                <c:pt idx="67">
                  <c:v>77</c:v>
                </c:pt>
                <c:pt idx="68">
                  <c:v>71</c:v>
                </c:pt>
                <c:pt idx="69">
                  <c:v>64</c:v>
                </c:pt>
                <c:pt idx="70">
                  <c:v>51</c:v>
                </c:pt>
                <c:pt idx="71">
                  <c:v>65</c:v>
                </c:pt>
                <c:pt idx="72">
                  <c:v>63</c:v>
                </c:pt>
                <c:pt idx="73">
                  <c:v>68</c:v>
                </c:pt>
                <c:pt idx="74">
                  <c:v>65</c:v>
                </c:pt>
                <c:pt idx="75">
                  <c:v>61</c:v>
                </c:pt>
                <c:pt idx="76">
                  <c:v>70</c:v>
                </c:pt>
                <c:pt idx="77">
                  <c:v>67</c:v>
                </c:pt>
                <c:pt idx="78">
                  <c:v>65</c:v>
                </c:pt>
                <c:pt idx="79">
                  <c:v>59</c:v>
                </c:pt>
                <c:pt idx="80">
                  <c:v>60</c:v>
                </c:pt>
                <c:pt idx="81">
                  <c:v>80</c:v>
                </c:pt>
                <c:pt idx="82">
                  <c:v>73</c:v>
                </c:pt>
                <c:pt idx="83">
                  <c:v>65</c:v>
                </c:pt>
                <c:pt idx="84">
                  <c:v>52</c:v>
                </c:pt>
                <c:pt idx="85">
                  <c:v>61</c:v>
                </c:pt>
                <c:pt idx="86">
                  <c:v>61</c:v>
                </c:pt>
                <c:pt idx="87">
                  <c:v>57</c:v>
                </c:pt>
                <c:pt idx="88">
                  <c:v>63</c:v>
                </c:pt>
                <c:pt idx="89">
                  <c:v>58</c:v>
                </c:pt>
                <c:pt idx="90">
                  <c:v>63</c:v>
                </c:pt>
                <c:pt idx="91">
                  <c:v>72</c:v>
                </c:pt>
                <c:pt idx="92">
                  <c:v>65</c:v>
                </c:pt>
                <c:pt idx="93">
                  <c:v>70</c:v>
                </c:pt>
                <c:pt idx="94">
                  <c:v>56</c:v>
                </c:pt>
                <c:pt idx="95">
                  <c:v>63</c:v>
                </c:pt>
                <c:pt idx="96">
                  <c:v>69</c:v>
                </c:pt>
                <c:pt idx="97">
                  <c:v>54</c:v>
                </c:pt>
                <c:pt idx="98">
                  <c:v>70</c:v>
                </c:pt>
                <c:pt idx="99">
                  <c:v>70</c:v>
                </c:pt>
              </c:numCache>
            </c:numRef>
          </c:yVal>
          <c:smooth val="0"/>
        </c:ser>
        <c:axId val="93309845"/>
        <c:axId val="713181"/>
      </c:scatterChart>
      <c:valAx>
        <c:axId val="93309845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13181"/>
        <c:crosses val="autoZero"/>
        <c:crossBetween val="midCat"/>
      </c:valAx>
      <c:valAx>
        <c:axId val="71318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330984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900" b="0" u="none" strike="noStrike" cap="all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259200</xdr:colOff>
      <xdr:row>0</xdr:row>
      <xdr:rowOff>160200</xdr:rowOff>
    </xdr:from>
    <xdr:to>
      <xdr:col>11</xdr:col>
      <xdr:colOff>373320</xdr:colOff>
      <xdr:row>18</xdr:row>
      <xdr:rowOff>75960</xdr:rowOff>
    </xdr:to>
    <xdr:graphicFrame>
      <xdr:nvGraphicFramePr>
        <xdr:cNvPr id="1" name="Диаграмма 1"/>
        <xdr:cNvGraphicFramePr/>
      </xdr:nvGraphicFramePr>
      <xdr:xfrm>
        <a:off x="2057400" y="160200"/>
        <a:ext cx="4909680" cy="283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16200</xdr:colOff>
      <xdr:row>12</xdr:row>
      <xdr:rowOff>4680</xdr:rowOff>
    </xdr:from>
    <xdr:to>
      <xdr:col>22</xdr:col>
      <xdr:colOff>375120</xdr:colOff>
      <xdr:row>28</xdr:row>
      <xdr:rowOff>71280</xdr:rowOff>
    </xdr:to>
    <xdr:graphicFrame>
      <xdr:nvGraphicFramePr>
        <xdr:cNvPr id="2" name="Диаграмма 2"/>
        <xdr:cNvGraphicFramePr/>
      </xdr:nvGraphicFramePr>
      <xdr:xfrm>
        <a:off x="9999000" y="1949760"/>
        <a:ext cx="47754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450360</xdr:colOff>
      <xdr:row>13</xdr:row>
      <xdr:rowOff>88560</xdr:rowOff>
    </xdr:from>
    <xdr:to>
      <xdr:col>27</xdr:col>
      <xdr:colOff>600480</xdr:colOff>
      <xdr:row>22</xdr:row>
      <xdr:rowOff>147240</xdr:rowOff>
    </xdr:to>
    <xdr:graphicFrame>
      <xdr:nvGraphicFramePr>
        <xdr:cNvPr id="3" name="Диаграмма 3"/>
        <xdr:cNvGraphicFramePr/>
      </xdr:nvGraphicFramePr>
      <xdr:xfrm>
        <a:off x="14849640" y="2195640"/>
        <a:ext cx="3502440" cy="157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149760</xdr:colOff>
      <xdr:row>92</xdr:row>
      <xdr:rowOff>47880</xdr:rowOff>
    </xdr:from>
    <xdr:to>
      <xdr:col>27</xdr:col>
      <xdr:colOff>274680</xdr:colOff>
      <xdr:row>109</xdr:row>
      <xdr:rowOff>66600</xdr:rowOff>
    </xdr:to>
    <xdr:graphicFrame>
      <xdr:nvGraphicFramePr>
        <xdr:cNvPr id="4" name="Диаграмма 1"/>
        <xdr:cNvGraphicFramePr/>
      </xdr:nvGraphicFramePr>
      <xdr:xfrm>
        <a:off x="13280400" y="15844320"/>
        <a:ext cx="4745880" cy="277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573840</xdr:colOff>
      <xdr:row>83</xdr:row>
      <xdr:rowOff>147240</xdr:rowOff>
    </xdr:from>
    <xdr:to>
      <xdr:col>33</xdr:col>
      <xdr:colOff>804600</xdr:colOff>
      <xdr:row>104</xdr:row>
      <xdr:rowOff>95760</xdr:rowOff>
    </xdr:to>
    <xdr:graphicFrame>
      <xdr:nvGraphicFramePr>
        <xdr:cNvPr id="5" name="Диаграмма 4"/>
        <xdr:cNvGraphicFramePr/>
      </xdr:nvGraphicFramePr>
      <xdr:xfrm>
        <a:off x="18325440" y="14486040"/>
        <a:ext cx="4851000" cy="334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571680</xdr:colOff>
      <xdr:row>77</xdr:row>
      <xdr:rowOff>152280</xdr:rowOff>
    </xdr:from>
    <xdr:to>
      <xdr:col>27</xdr:col>
      <xdr:colOff>342720</xdr:colOff>
      <xdr:row>91</xdr:row>
      <xdr:rowOff>48600</xdr:rowOff>
    </xdr:to>
    <xdr:graphicFrame>
      <xdr:nvGraphicFramePr>
        <xdr:cNvPr id="6" name="Диаграмма 5"/>
        <xdr:cNvGraphicFramePr/>
      </xdr:nvGraphicFramePr>
      <xdr:xfrm>
        <a:off x="13068000" y="12710160"/>
        <a:ext cx="5026320" cy="297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O41" activeCellId="0" sqref="O41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5.56"/>
    <col collapsed="false" customWidth="true" hidden="false" outlineLevel="0" max="3" min="3" style="0" width="6.88"/>
    <col collapsed="false" customWidth="true" hidden="false" outlineLevel="0" max="4" min="4" style="0" width="7"/>
    <col collapsed="false" customWidth="true" hidden="false" outlineLevel="0" max="5" min="5" style="1" width="7"/>
    <col collapsed="false" customWidth="true" hidden="false" outlineLevel="0" max="6" min="6" style="0" width="6.56"/>
    <col collapsed="false" customWidth="true" hidden="false" outlineLevel="0" max="7" min="7" style="0" width="5.33"/>
    <col collapsed="false" customWidth="true" hidden="false" outlineLevel="0" max="8" min="8" style="0" width="8.11"/>
    <col collapsed="false" customWidth="true" hidden="false" outlineLevel="0" max="9" min="9" style="0" width="7.33"/>
    <col collapsed="false" customWidth="true" hidden="false" outlineLevel="0" max="10" min="10" style="0" width="7.44"/>
    <col collapsed="false" customWidth="true" hidden="false" outlineLevel="0" max="11" min="11" style="0" width="8.88"/>
    <col collapsed="false" customWidth="true" hidden="false" outlineLevel="0" max="12" min="12" style="0" width="9.67"/>
    <col collapsed="false" customWidth="true" hidden="false" outlineLevel="0" max="13" min="13" style="0" width="10.33"/>
    <col collapsed="false" customWidth="true" hidden="false" outlineLevel="0" max="14" min="14" style="0" width="8.88"/>
    <col collapsed="false" customWidth="true" hidden="false" outlineLevel="0" max="15" min="15" style="0" width="13.11"/>
    <col collapsed="false" customWidth="true" hidden="false" outlineLevel="0" max="16" min="16" style="0" width="9"/>
    <col collapsed="false" customWidth="true" hidden="false" outlineLevel="0" max="17" min="17" style="0" width="9.33"/>
    <col collapsed="false" customWidth="true" hidden="false" outlineLevel="0" max="18" min="18" style="0" width="9.88"/>
    <col collapsed="false" customWidth="true" hidden="false" outlineLevel="0" max="19" min="19" style="0" width="10.11"/>
    <col collapsed="false" customWidth="true" hidden="false" outlineLevel="0" max="20" min="20" style="0" width="6.33"/>
    <col collapsed="false" customWidth="true" hidden="false" outlineLevel="0" max="1025" min="21" style="0" width="9"/>
  </cols>
  <sheetData>
    <row r="1" customFormat="false" ht="12.75" hidden="false" customHeight="false" outlineLevel="0" collapsed="false">
      <c r="B1" s="2" t="s">
        <v>0</v>
      </c>
      <c r="C1" s="3" t="s">
        <v>1</v>
      </c>
      <c r="D1" s="2" t="s">
        <v>0</v>
      </c>
      <c r="E1" s="3" t="s">
        <v>1</v>
      </c>
      <c r="G1" s="0" t="s">
        <v>2</v>
      </c>
      <c r="H1" s="4" t="n">
        <f aca="false">MIN(B2:B101)</f>
        <v>158</v>
      </c>
      <c r="I1" s="0" t="s">
        <v>3</v>
      </c>
      <c r="J1" s="4" t="n">
        <f aca="false">MAX(B2:B101)</f>
        <v>187</v>
      </c>
      <c r="L1" s="5" t="s">
        <v>4</v>
      </c>
      <c r="M1" s="5"/>
      <c r="Q1" s="0" t="s">
        <v>5</v>
      </c>
    </row>
    <row r="2" customFormat="false" ht="12.75" hidden="false" customHeight="false" outlineLevel="0" collapsed="false">
      <c r="A2" s="0" t="n">
        <v>1</v>
      </c>
      <c r="B2" s="0" t="n">
        <v>165</v>
      </c>
      <c r="C2" s="0" t="n">
        <v>59</v>
      </c>
      <c r="D2" s="6" t="n">
        <v>158</v>
      </c>
      <c r="E2" s="1" t="n">
        <v>60</v>
      </c>
      <c r="F2" s="0" t="s">
        <v>6</v>
      </c>
      <c r="G2" s="0" t="s">
        <v>7</v>
      </c>
      <c r="H2" s="4" t="n">
        <f aca="false">J1-H1</f>
        <v>29</v>
      </c>
      <c r="I2" s="0" t="s">
        <v>8</v>
      </c>
      <c r="Q2" s="0" t="s">
        <v>9</v>
      </c>
    </row>
    <row r="3" customFormat="false" ht="12.75" hidden="false" customHeight="false" outlineLevel="0" collapsed="false">
      <c r="A3" s="0" t="n">
        <v>2</v>
      </c>
      <c r="B3" s="0" t="n">
        <v>161</v>
      </c>
      <c r="C3" s="0" t="n">
        <v>56</v>
      </c>
      <c r="D3" s="6" t="n">
        <v>159</v>
      </c>
      <c r="E3" s="1" t="n">
        <v>68</v>
      </c>
      <c r="G3" s="0" t="s">
        <v>10</v>
      </c>
      <c r="H3" s="0" t="n">
        <f aca="false">ROUND(1+3.32*LOG10(100),0)</f>
        <v>8</v>
      </c>
      <c r="Q3" s="0" t="s">
        <v>11</v>
      </c>
    </row>
    <row r="4" customFormat="false" ht="12.75" hidden="false" customHeight="false" outlineLevel="0" collapsed="false">
      <c r="A4" s="0" t="n">
        <v>3</v>
      </c>
      <c r="B4" s="0" t="n">
        <v>171</v>
      </c>
      <c r="C4" s="0" t="n">
        <v>72</v>
      </c>
      <c r="D4" s="6" t="n">
        <v>160</v>
      </c>
      <c r="E4" s="1" t="n">
        <v>60</v>
      </c>
      <c r="G4" s="0" t="s">
        <v>12</v>
      </c>
      <c r="H4" s="7" t="n">
        <f aca="false">H2/H3</f>
        <v>3.625</v>
      </c>
      <c r="Q4" s="0" t="s">
        <v>13</v>
      </c>
    </row>
    <row r="5" customFormat="false" ht="12.75" hidden="false" customHeight="false" outlineLevel="0" collapsed="false">
      <c r="A5" s="0" t="n">
        <v>4</v>
      </c>
      <c r="B5" s="0" t="n">
        <v>179</v>
      </c>
      <c r="C5" s="0" t="n">
        <v>77</v>
      </c>
      <c r="D5" s="6" t="n">
        <v>160</v>
      </c>
      <c r="E5" s="1" t="n">
        <v>50</v>
      </c>
      <c r="O5" s="0" t="s">
        <v>14</v>
      </c>
      <c r="Q5" s="0" t="s">
        <v>15</v>
      </c>
    </row>
    <row r="6" customFormat="false" ht="12.75" hidden="false" customHeight="false" outlineLevel="0" collapsed="false">
      <c r="A6" s="0" t="n">
        <v>5</v>
      </c>
      <c r="B6" s="0" t="n">
        <v>161</v>
      </c>
      <c r="C6" s="0" t="n">
        <v>58</v>
      </c>
      <c r="D6" s="6" t="n">
        <v>161</v>
      </c>
      <c r="E6" s="1" t="n">
        <v>56</v>
      </c>
      <c r="G6" s="8"/>
      <c r="H6" s="9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10" t="s">
        <v>21</v>
      </c>
      <c r="N6" s="2" t="s">
        <v>22</v>
      </c>
      <c r="O6" s="10" t="s">
        <v>23</v>
      </c>
      <c r="Q6" s="0" t="s">
        <v>24</v>
      </c>
    </row>
    <row r="7" customFormat="false" ht="12.75" hidden="false" customHeight="false" outlineLevel="0" collapsed="false">
      <c r="A7" s="0" t="n">
        <v>6</v>
      </c>
      <c r="B7" s="0" t="n">
        <v>165</v>
      </c>
      <c r="C7" s="0" t="n">
        <v>57</v>
      </c>
      <c r="D7" s="6" t="n">
        <v>161</v>
      </c>
      <c r="E7" s="1" t="n">
        <v>58</v>
      </c>
      <c r="G7" s="8" t="n">
        <v>1</v>
      </c>
      <c r="H7" s="11" t="n">
        <f aca="false">$H$1</f>
        <v>158</v>
      </c>
      <c r="I7" s="11" t="n">
        <f aca="false">H7+$H$4</f>
        <v>161.625</v>
      </c>
      <c r="J7" s="2" t="n">
        <f aca="false">COUNTIF($B$2:$B$101,"&lt;=161,63")</f>
        <v>9</v>
      </c>
      <c r="K7" s="2" t="n">
        <f aca="false">J7</f>
        <v>9</v>
      </c>
      <c r="L7" s="11" t="n">
        <f aca="false">(H7+I7)/2</f>
        <v>159.8125</v>
      </c>
      <c r="M7" s="2" t="n">
        <f aca="false">J7/100</f>
        <v>0.09</v>
      </c>
      <c r="N7" s="2" t="n">
        <f aca="false">K7/100</f>
        <v>0.09</v>
      </c>
      <c r="O7" s="12" t="n">
        <f aca="false">M7/$H$4</f>
        <v>0.0248275862068966</v>
      </c>
      <c r="Q7" s="0" t="s">
        <v>25</v>
      </c>
    </row>
    <row r="8" customFormat="false" ht="12.75" hidden="false" customHeight="false" outlineLevel="0" collapsed="false">
      <c r="A8" s="0" t="n">
        <v>7</v>
      </c>
      <c r="B8" s="0" t="n">
        <v>178</v>
      </c>
      <c r="C8" s="0" t="n">
        <v>62</v>
      </c>
      <c r="D8" s="6" t="n">
        <v>161</v>
      </c>
      <c r="E8" s="1" t="n">
        <v>66</v>
      </c>
      <c r="G8" s="8" t="n">
        <v>2</v>
      </c>
      <c r="H8" s="11" t="n">
        <f aca="false">I7</f>
        <v>161.625</v>
      </c>
      <c r="I8" s="11" t="n">
        <f aca="false">H8+$H$4</f>
        <v>165.25</v>
      </c>
      <c r="J8" s="13" t="n">
        <f aca="false">COUNTIF($B$2:$B$101,"&lt;=165,25")-J7</f>
        <v>22</v>
      </c>
      <c r="K8" s="13" t="n">
        <f aca="false">J8+K7</f>
        <v>31</v>
      </c>
      <c r="L8" s="11" t="n">
        <f aca="false">(H8+I8)/2</f>
        <v>163.4375</v>
      </c>
      <c r="M8" s="2" t="n">
        <f aca="false">J8/100</f>
        <v>0.22</v>
      </c>
      <c r="N8" s="2" t="n">
        <f aca="false">K8/100</f>
        <v>0.31</v>
      </c>
      <c r="O8" s="12" t="n">
        <f aca="false">M8/$H$4</f>
        <v>0.0606896551724138</v>
      </c>
      <c r="Q8" s="0" t="s">
        <v>26</v>
      </c>
    </row>
    <row r="9" customFormat="false" ht="12.75" hidden="false" customHeight="false" outlineLevel="0" collapsed="false">
      <c r="A9" s="0" t="n">
        <v>8</v>
      </c>
      <c r="B9" s="0" t="n">
        <v>166</v>
      </c>
      <c r="C9" s="0" t="n">
        <v>60</v>
      </c>
      <c r="D9" s="6" t="n">
        <v>161</v>
      </c>
      <c r="E9" s="1" t="n">
        <v>52</v>
      </c>
      <c r="G9" s="8" t="n">
        <v>3</v>
      </c>
      <c r="H9" s="11" t="n">
        <f aca="false">I8</f>
        <v>165.25</v>
      </c>
      <c r="I9" s="11" t="n">
        <f aca="false">H9+$H$4</f>
        <v>168.875</v>
      </c>
      <c r="J9" s="13" t="n">
        <f aca="false">COUNTIF($B$2:$B$101,"&lt;=168,88")-J8-J7</f>
        <v>20</v>
      </c>
      <c r="K9" s="13" t="n">
        <f aca="false">J9+K8</f>
        <v>51</v>
      </c>
      <c r="L9" s="11" t="n">
        <f aca="false">(H9+I9)/2</f>
        <v>167.0625</v>
      </c>
      <c r="M9" s="2" t="n">
        <f aca="false">J9/100</f>
        <v>0.2</v>
      </c>
      <c r="N9" s="2" t="n">
        <f aca="false">K9/100</f>
        <v>0.51</v>
      </c>
      <c r="O9" s="12" t="n">
        <f aca="false">M9/$H$4</f>
        <v>0.0551724137931035</v>
      </c>
      <c r="Q9" s="0" t="s">
        <v>27</v>
      </c>
    </row>
    <row r="10" customFormat="false" ht="12.75" hidden="false" customHeight="false" outlineLevel="0" collapsed="false">
      <c r="A10" s="0" t="n">
        <v>9</v>
      </c>
      <c r="B10" s="0" t="n">
        <v>161</v>
      </c>
      <c r="C10" s="0" t="n">
        <v>66</v>
      </c>
      <c r="D10" s="6" t="n">
        <v>161</v>
      </c>
      <c r="E10" s="1" t="n">
        <v>52</v>
      </c>
      <c r="G10" s="8" t="n">
        <v>4</v>
      </c>
      <c r="H10" s="11" t="n">
        <f aca="false">I9</f>
        <v>168.875</v>
      </c>
      <c r="I10" s="11" t="n">
        <f aca="false">H10+$H$4</f>
        <v>172.5</v>
      </c>
      <c r="J10" s="13" t="n">
        <f aca="false">COUNTIF($B$2:$B$101,"&lt;=172,5")-J9-J8-J7</f>
        <v>24</v>
      </c>
      <c r="K10" s="13" t="n">
        <f aca="false">J10+K9</f>
        <v>75</v>
      </c>
      <c r="L10" s="11" t="n">
        <f aca="false">(H10+I10)/2</f>
        <v>170.6875</v>
      </c>
      <c r="M10" s="2" t="n">
        <f aca="false">J10/100</f>
        <v>0.24</v>
      </c>
      <c r="N10" s="2" t="n">
        <f aca="false">K10/100</f>
        <v>0.75</v>
      </c>
      <c r="O10" s="12" t="n">
        <f aca="false">M10/$H$4</f>
        <v>0.0662068965517241</v>
      </c>
      <c r="Q10" s="0" t="s">
        <v>28</v>
      </c>
    </row>
    <row r="11" customFormat="false" ht="12.75" hidden="false" customHeight="false" outlineLevel="0" collapsed="false">
      <c r="A11" s="0" t="n">
        <v>10</v>
      </c>
      <c r="B11" s="0" t="n">
        <v>165</v>
      </c>
      <c r="C11" s="0" t="n">
        <v>68</v>
      </c>
      <c r="D11" s="14" t="n">
        <v>162</v>
      </c>
      <c r="E11" s="1" t="n">
        <v>53</v>
      </c>
      <c r="F11" s="0" t="s">
        <v>29</v>
      </c>
      <c r="G11" s="8" t="n">
        <v>5</v>
      </c>
      <c r="H11" s="11" t="n">
        <f aca="false">I10</f>
        <v>172.5</v>
      </c>
      <c r="I11" s="11" t="n">
        <f aca="false">H11+$H$4</f>
        <v>176.125</v>
      </c>
      <c r="J11" s="13" t="n">
        <f aca="false">COUNTIF($B$2:$B$101,"&lt;=176,13")-J10-J9-J8-J7</f>
        <v>16</v>
      </c>
      <c r="K11" s="13" t="n">
        <f aca="false">J11+K10</f>
        <v>91</v>
      </c>
      <c r="L11" s="11" t="n">
        <f aca="false">(H11+I11)/2</f>
        <v>174.3125</v>
      </c>
      <c r="M11" s="2" t="n">
        <f aca="false">J11/100</f>
        <v>0.16</v>
      </c>
      <c r="N11" s="2" t="n">
        <f aca="false">K11/100</f>
        <v>0.91</v>
      </c>
      <c r="O11" s="12" t="n">
        <f aca="false">M11/$H$4</f>
        <v>0.0441379310344828</v>
      </c>
      <c r="Q11" s="0" t="s">
        <v>30</v>
      </c>
    </row>
    <row r="12" customFormat="false" ht="12.75" hidden="false" customHeight="false" outlineLevel="0" collapsed="false">
      <c r="A12" s="0" t="n">
        <v>11</v>
      </c>
      <c r="B12" s="0" t="n">
        <v>187</v>
      </c>
      <c r="C12" s="0" t="n">
        <v>84</v>
      </c>
      <c r="D12" s="14" t="n">
        <v>162</v>
      </c>
      <c r="E12" s="1" t="n">
        <v>61</v>
      </c>
      <c r="G12" s="8" t="n">
        <v>6</v>
      </c>
      <c r="H12" s="11" t="n">
        <f aca="false">I11</f>
        <v>176.125</v>
      </c>
      <c r="I12" s="11" t="n">
        <f aca="false">H12+$H$4</f>
        <v>179.75</v>
      </c>
      <c r="J12" s="13" t="n">
        <f aca="false">COUNTIF($B$2:$B$101,"&lt;=179,75")-SUM(J7:J11)</f>
        <v>5</v>
      </c>
      <c r="K12" s="13" t="n">
        <f aca="false">J12+K11</f>
        <v>96</v>
      </c>
      <c r="L12" s="11" t="n">
        <f aca="false">(H12+I12)/2</f>
        <v>177.9375</v>
      </c>
      <c r="M12" s="2" t="n">
        <f aca="false">J12/100</f>
        <v>0.05</v>
      </c>
      <c r="N12" s="2" t="n">
        <f aca="false">K12/100</f>
        <v>0.96</v>
      </c>
      <c r="O12" s="12" t="n">
        <f aca="false">M12/$H$4</f>
        <v>0.0137931034482759</v>
      </c>
      <c r="Q12" s="0" t="s">
        <v>31</v>
      </c>
    </row>
    <row r="13" customFormat="false" ht="12.75" hidden="false" customHeight="false" outlineLevel="0" collapsed="false">
      <c r="A13" s="0" t="n">
        <v>12</v>
      </c>
      <c r="B13" s="0" t="n">
        <v>165</v>
      </c>
      <c r="C13" s="0" t="n">
        <v>63</v>
      </c>
      <c r="D13" s="14" t="n">
        <v>162</v>
      </c>
      <c r="E13" s="1" t="n">
        <v>56</v>
      </c>
      <c r="G13" s="8" t="n">
        <v>7</v>
      </c>
      <c r="H13" s="11" t="n">
        <f aca="false">I12</f>
        <v>179.75</v>
      </c>
      <c r="I13" s="11" t="n">
        <f aca="false">H13+$H$4</f>
        <v>183.375</v>
      </c>
      <c r="J13" s="13" t="n">
        <f aca="false">COUNTIF($B$2:$B$101,"&lt;=183,38")-SUM(J7:J12)</f>
        <v>3</v>
      </c>
      <c r="K13" s="13" t="n">
        <f aca="false">J13+K12</f>
        <v>99</v>
      </c>
      <c r="L13" s="11" t="n">
        <f aca="false">(H13+I13)/2</f>
        <v>181.5625</v>
      </c>
      <c r="M13" s="2" t="n">
        <f aca="false">J13/100</f>
        <v>0.03</v>
      </c>
      <c r="N13" s="2" t="n">
        <f aca="false">K13/100</f>
        <v>0.99</v>
      </c>
      <c r="O13" s="12" t="n">
        <f aca="false">M13/$H$4</f>
        <v>0.00827586206896552</v>
      </c>
    </row>
    <row r="14" customFormat="false" ht="12.75" hidden="false" customHeight="false" outlineLevel="0" collapsed="false">
      <c r="A14" s="0" t="n">
        <v>13</v>
      </c>
      <c r="B14" s="0" t="n">
        <v>173</v>
      </c>
      <c r="C14" s="0" t="n">
        <v>70</v>
      </c>
      <c r="D14" s="14" t="n">
        <v>162</v>
      </c>
      <c r="E14" s="1" t="n">
        <v>53</v>
      </c>
      <c r="G14" s="8" t="n">
        <v>8</v>
      </c>
      <c r="H14" s="11" t="n">
        <f aca="false">I13</f>
        <v>183.375</v>
      </c>
      <c r="I14" s="11" t="n">
        <f aca="false">H14+$H$4</f>
        <v>187</v>
      </c>
      <c r="J14" s="13" t="n">
        <f aca="false">COUNTIF($B$2:$B$101,"&lt;=187")-SUM(J7:J13)</f>
        <v>1</v>
      </c>
      <c r="K14" s="13" t="n">
        <f aca="false">J14+K13</f>
        <v>100</v>
      </c>
      <c r="L14" s="11" t="n">
        <f aca="false">(H14+I14)/2</f>
        <v>185.1875</v>
      </c>
      <c r="M14" s="2" t="n">
        <f aca="false">J14/100</f>
        <v>0.01</v>
      </c>
      <c r="N14" s="2" t="n">
        <f aca="false">K14/100</f>
        <v>1</v>
      </c>
      <c r="O14" s="12" t="n">
        <f aca="false">M14/$H$4</f>
        <v>0.00275862068965517</v>
      </c>
    </row>
    <row r="15" customFormat="false" ht="12.75" hidden="false" customHeight="false" outlineLevel="0" collapsed="false">
      <c r="A15" s="0" t="n">
        <v>14</v>
      </c>
      <c r="B15" s="0" t="n">
        <v>171</v>
      </c>
      <c r="C15" s="0" t="n">
        <v>67</v>
      </c>
      <c r="D15" s="14" t="n">
        <v>163</v>
      </c>
      <c r="E15" s="1" t="n">
        <v>64</v>
      </c>
      <c r="G15" s="8"/>
      <c r="H15" s="11"/>
      <c r="I15" s="11"/>
      <c r="J15" s="2" t="n">
        <f aca="false">SUM(J7:J14)</f>
        <v>100</v>
      </c>
      <c r="K15" s="9" t="s">
        <v>32</v>
      </c>
      <c r="L15" s="9" t="s">
        <v>32</v>
      </c>
      <c r="M15" s="2" t="n">
        <f aca="false">SUM(M7:M14)</f>
        <v>1</v>
      </c>
      <c r="N15" s="2"/>
      <c r="O15" s="2"/>
    </row>
    <row r="16" customFormat="false" ht="12.75" hidden="false" customHeight="false" outlineLevel="0" collapsed="false">
      <c r="A16" s="0" t="n">
        <v>15</v>
      </c>
      <c r="B16" s="0" t="n">
        <v>169</v>
      </c>
      <c r="C16" s="0" t="n">
        <v>73</v>
      </c>
      <c r="D16" s="14" t="n">
        <v>163</v>
      </c>
      <c r="E16" s="1" t="n">
        <v>63</v>
      </c>
    </row>
    <row r="17" customFormat="false" ht="12.75" hidden="false" customHeight="false" outlineLevel="0" collapsed="false">
      <c r="A17" s="0" t="n">
        <v>16</v>
      </c>
      <c r="B17" s="0" t="n">
        <v>173</v>
      </c>
      <c r="C17" s="0" t="n">
        <v>75</v>
      </c>
      <c r="D17" s="14" t="n">
        <v>163</v>
      </c>
      <c r="E17" s="1" t="n">
        <v>72</v>
      </c>
      <c r="G17" s="0" t="s">
        <v>33</v>
      </c>
      <c r="H17" s="4" t="n">
        <f aca="false">$K$27</f>
        <v>168.8025</v>
      </c>
      <c r="I17" s="4"/>
    </row>
    <row r="18" customFormat="false" ht="16.75" hidden="false" customHeight="false" outlineLevel="0" collapsed="false">
      <c r="A18" s="0" t="n">
        <v>17</v>
      </c>
      <c r="B18" s="0" t="n">
        <v>164</v>
      </c>
      <c r="C18" s="0" t="n">
        <v>61</v>
      </c>
      <c r="D18" s="14" t="n">
        <v>164</v>
      </c>
      <c r="E18" s="1" t="n">
        <v>61</v>
      </c>
      <c r="H18" s="9" t="s">
        <v>20</v>
      </c>
      <c r="I18" s="10" t="s">
        <v>34</v>
      </c>
      <c r="J18" s="15" t="s">
        <v>35</v>
      </c>
      <c r="K18" s="9" t="s">
        <v>36</v>
      </c>
      <c r="L18" s="16" t="s">
        <v>37</v>
      </c>
      <c r="M18" s="16" t="s">
        <v>38</v>
      </c>
      <c r="N18" s="16" t="s">
        <v>39</v>
      </c>
      <c r="O18" s="16" t="s">
        <v>40</v>
      </c>
    </row>
    <row r="19" customFormat="false" ht="12.75" hidden="false" customHeight="false" outlineLevel="0" collapsed="false">
      <c r="A19" s="0" t="n">
        <v>18</v>
      </c>
      <c r="B19" s="0" t="n">
        <v>169</v>
      </c>
      <c r="C19" s="0" t="n">
        <v>60</v>
      </c>
      <c r="D19" s="14" t="n">
        <v>164</v>
      </c>
      <c r="E19" s="1" t="n">
        <v>59</v>
      </c>
      <c r="G19" s="8" t="n">
        <v>1</v>
      </c>
      <c r="H19" s="11" t="n">
        <f aca="false">L7</f>
        <v>159.8125</v>
      </c>
      <c r="I19" s="2" t="n">
        <f aca="false">M7</f>
        <v>0.09</v>
      </c>
      <c r="J19" s="4" t="n">
        <f aca="false">H19-$K$27</f>
        <v>-8.99000000000001</v>
      </c>
      <c r="K19" s="4" t="n">
        <f aca="false">H19*I19</f>
        <v>14.383125</v>
      </c>
      <c r="L19" s="4" t="n">
        <f aca="false">I19*J19</f>
        <v>-0.809100000000001</v>
      </c>
      <c r="M19" s="4" t="n">
        <f aca="false">L19*J19</f>
        <v>7.27380900000002</v>
      </c>
      <c r="N19" s="17" t="n">
        <f aca="false">M19*J19</f>
        <v>-65.3915429100002</v>
      </c>
      <c r="O19" s="18" t="n">
        <f aca="false">N19*J19</f>
        <v>587.869970760902</v>
      </c>
    </row>
    <row r="20" customFormat="false" ht="12.75" hidden="false" customHeight="false" outlineLevel="0" collapsed="false">
      <c r="A20" s="0" t="n">
        <v>19</v>
      </c>
      <c r="B20" s="0" t="n">
        <v>162</v>
      </c>
      <c r="C20" s="0" t="n">
        <v>53</v>
      </c>
      <c r="D20" s="14" t="n">
        <v>164</v>
      </c>
      <c r="E20" s="1" t="n">
        <v>59</v>
      </c>
      <c r="G20" s="8" t="n">
        <v>2</v>
      </c>
      <c r="H20" s="11" t="n">
        <f aca="false">L8</f>
        <v>163.4375</v>
      </c>
      <c r="I20" s="2" t="n">
        <f aca="false">M8</f>
        <v>0.22</v>
      </c>
      <c r="J20" s="4" t="n">
        <f aca="false">H20-$K$27</f>
        <v>-5.36500000000001</v>
      </c>
      <c r="K20" s="4" t="n">
        <f aca="false">H20*I20</f>
        <v>35.95625</v>
      </c>
      <c r="L20" s="4" t="n">
        <f aca="false">I20*J20</f>
        <v>-1.1803</v>
      </c>
      <c r="M20" s="4" t="n">
        <f aca="false">L20*J20</f>
        <v>6.33230950000002</v>
      </c>
      <c r="N20" s="17" t="n">
        <f aca="false">M20*J20</f>
        <v>-33.9728404675002</v>
      </c>
      <c r="O20" s="18" t="n">
        <f aca="false">N20*J20</f>
        <v>182.264289108139</v>
      </c>
    </row>
    <row r="21" customFormat="false" ht="12.75" hidden="false" customHeight="false" outlineLevel="0" collapsed="false">
      <c r="A21" s="0" t="n">
        <v>20</v>
      </c>
      <c r="B21" s="0" t="n">
        <v>166</v>
      </c>
      <c r="C21" s="0" t="n">
        <v>55</v>
      </c>
      <c r="D21" s="14" t="n">
        <v>164</v>
      </c>
      <c r="E21" s="1" t="n">
        <v>60</v>
      </c>
      <c r="G21" s="8" t="n">
        <v>3</v>
      </c>
      <c r="H21" s="11" t="n">
        <f aca="false">L9</f>
        <v>167.0625</v>
      </c>
      <c r="I21" s="2" t="n">
        <f aca="false">M9</f>
        <v>0.2</v>
      </c>
      <c r="J21" s="4" t="n">
        <f aca="false">H21-$K$27</f>
        <v>-1.74000000000001</v>
      </c>
      <c r="K21" s="4" t="n">
        <f aca="false">H21*I21</f>
        <v>33.4125</v>
      </c>
      <c r="L21" s="4" t="n">
        <f aca="false">I21*J21</f>
        <v>-0.348000000000002</v>
      </c>
      <c r="M21" s="4" t="n">
        <f aca="false">L21*J21</f>
        <v>0.605520000000006</v>
      </c>
      <c r="N21" s="17" t="n">
        <f aca="false">M21*J21</f>
        <v>-1.05360480000002</v>
      </c>
      <c r="O21" s="18" t="n">
        <f aca="false">N21*J21</f>
        <v>1.83327235200004</v>
      </c>
    </row>
    <row r="22" customFormat="false" ht="12.75" hidden="false" customHeight="false" outlineLevel="0" collapsed="false">
      <c r="A22" s="0" t="n">
        <v>21</v>
      </c>
      <c r="B22" s="0" t="n">
        <v>173</v>
      </c>
      <c r="C22" s="0" t="n">
        <v>69</v>
      </c>
      <c r="D22" s="14" t="n">
        <v>164</v>
      </c>
      <c r="E22" s="1" t="n">
        <v>61</v>
      </c>
      <c r="G22" s="8" t="n">
        <v>4</v>
      </c>
      <c r="H22" s="11" t="n">
        <f aca="false">L10</f>
        <v>170.6875</v>
      </c>
      <c r="I22" s="2" t="n">
        <f aca="false">M10</f>
        <v>0.24</v>
      </c>
      <c r="J22" s="4" t="n">
        <f aca="false">H22-$K$27</f>
        <v>1.88499999999999</v>
      </c>
      <c r="K22" s="4" t="n">
        <f aca="false">H22*I22</f>
        <v>40.965</v>
      </c>
      <c r="L22" s="4" t="n">
        <f aca="false">I22*J22</f>
        <v>0.452399999999998</v>
      </c>
      <c r="M22" s="4" t="n">
        <f aca="false">L22*J22</f>
        <v>0.852773999999992</v>
      </c>
      <c r="N22" s="17" t="n">
        <f aca="false">M22*J22</f>
        <v>1.60747898999998</v>
      </c>
      <c r="O22" s="18" t="n">
        <f aca="false">N22*J22</f>
        <v>3.03009789614994</v>
      </c>
    </row>
    <row r="23" customFormat="false" ht="12.75" hidden="false" customHeight="false" outlineLevel="0" collapsed="false">
      <c r="A23" s="0" t="n">
        <v>22</v>
      </c>
      <c r="B23" s="0" t="n">
        <v>166</v>
      </c>
      <c r="C23" s="0" t="n">
        <v>67</v>
      </c>
      <c r="D23" s="14" t="n">
        <v>164</v>
      </c>
      <c r="E23" s="1" t="n">
        <v>61</v>
      </c>
      <c r="F23" s="0" t="s">
        <v>41</v>
      </c>
      <c r="G23" s="8" t="n">
        <v>5</v>
      </c>
      <c r="H23" s="11" t="n">
        <f aca="false">L11</f>
        <v>174.3125</v>
      </c>
      <c r="I23" s="2" t="n">
        <f aca="false">M11</f>
        <v>0.16</v>
      </c>
      <c r="J23" s="4" t="n">
        <f aca="false">H23-$K$27</f>
        <v>5.50999999999999</v>
      </c>
      <c r="K23" s="4" t="n">
        <f aca="false">H23*I23</f>
        <v>27.89</v>
      </c>
      <c r="L23" s="4" t="n">
        <f aca="false">I23*J23</f>
        <v>0.881599999999999</v>
      </c>
      <c r="M23" s="4" t="n">
        <f aca="false">L23*J23</f>
        <v>4.85761599999998</v>
      </c>
      <c r="N23" s="17" t="n">
        <f aca="false">M23*J23</f>
        <v>26.7654641599999</v>
      </c>
      <c r="O23" s="18" t="n">
        <f aca="false">N23*J23</f>
        <v>147.477707521599</v>
      </c>
    </row>
    <row r="24" customFormat="false" ht="12.75" hidden="false" customHeight="false" outlineLevel="0" collapsed="false">
      <c r="A24" s="0" t="n">
        <v>23</v>
      </c>
      <c r="B24" s="0" t="n">
        <v>166</v>
      </c>
      <c r="C24" s="0" t="n">
        <v>55</v>
      </c>
      <c r="D24" s="14" t="n">
        <v>164</v>
      </c>
      <c r="E24" s="1" t="n">
        <v>62</v>
      </c>
      <c r="G24" s="8" t="n">
        <v>6</v>
      </c>
      <c r="H24" s="11" t="n">
        <f aca="false">L12</f>
        <v>177.9375</v>
      </c>
      <c r="I24" s="2" t="n">
        <f aca="false">M12</f>
        <v>0.05</v>
      </c>
      <c r="J24" s="4" t="n">
        <f aca="false">H24-$K$27</f>
        <v>9.13499999999999</v>
      </c>
      <c r="K24" s="4" t="n">
        <f aca="false">H24*I24</f>
        <v>8.896875</v>
      </c>
      <c r="L24" s="4" t="n">
        <f aca="false">I24*J24</f>
        <v>0.45675</v>
      </c>
      <c r="M24" s="4" t="n">
        <f aca="false">L24*J24</f>
        <v>4.17241124999999</v>
      </c>
      <c r="N24" s="17" t="n">
        <f aca="false">M24*J24</f>
        <v>38.1149767687499</v>
      </c>
      <c r="O24" s="18" t="n">
        <f aca="false">N24*J24</f>
        <v>348.18031278253</v>
      </c>
    </row>
    <row r="25" customFormat="false" ht="12.75" hidden="false" customHeight="false" outlineLevel="0" collapsed="false">
      <c r="A25" s="0" t="n">
        <v>24</v>
      </c>
      <c r="B25" s="0" t="n">
        <v>170</v>
      </c>
      <c r="C25" s="0" t="n">
        <v>73</v>
      </c>
      <c r="D25" s="14" t="n">
        <v>164</v>
      </c>
      <c r="E25" s="1" t="n">
        <v>57</v>
      </c>
      <c r="G25" s="8" t="n">
        <v>7</v>
      </c>
      <c r="H25" s="11" t="n">
        <f aca="false">L13</f>
        <v>181.5625</v>
      </c>
      <c r="I25" s="2" t="n">
        <f aca="false">M13</f>
        <v>0.03</v>
      </c>
      <c r="J25" s="4" t="n">
        <f aca="false">H25-$K$27</f>
        <v>12.76</v>
      </c>
      <c r="K25" s="4" t="n">
        <f aca="false">H25*I25</f>
        <v>5.446875</v>
      </c>
      <c r="L25" s="4" t="n">
        <f aca="false">I25*J25</f>
        <v>0.3828</v>
      </c>
      <c r="M25" s="4" t="n">
        <f aca="false">L25*J25</f>
        <v>4.88452799999999</v>
      </c>
      <c r="N25" s="17" t="n">
        <f aca="false">M25*J25</f>
        <v>62.3265772799999</v>
      </c>
      <c r="O25" s="18" t="n">
        <f aca="false">N25*J25</f>
        <v>795.287126092798</v>
      </c>
    </row>
    <row r="26" customFormat="false" ht="12.75" hidden="false" customHeight="false" outlineLevel="0" collapsed="false">
      <c r="A26" s="0" t="n">
        <v>25</v>
      </c>
      <c r="B26" s="0" t="n">
        <v>165</v>
      </c>
      <c r="C26" s="0" t="n">
        <v>68</v>
      </c>
      <c r="D26" s="14" t="n">
        <v>165</v>
      </c>
      <c r="E26" s="1" t="n">
        <v>59</v>
      </c>
      <c r="G26" s="8" t="n">
        <v>8</v>
      </c>
      <c r="H26" s="11" t="n">
        <f aca="false">L14</f>
        <v>185.1875</v>
      </c>
      <c r="I26" s="2" t="n">
        <f aca="false">M14</f>
        <v>0.01</v>
      </c>
      <c r="J26" s="4" t="n">
        <f aca="false">H26-$K$27</f>
        <v>16.385</v>
      </c>
      <c r="K26" s="4" t="n">
        <f aca="false">H26*I26</f>
        <v>1.851875</v>
      </c>
      <c r="L26" s="4" t="n">
        <f aca="false">I26*J26</f>
        <v>0.16385</v>
      </c>
      <c r="M26" s="4" t="n">
        <f aca="false">L26*J26</f>
        <v>2.68468225</v>
      </c>
      <c r="N26" s="17" t="n">
        <f aca="false">M26*J26</f>
        <v>43.9885186662499</v>
      </c>
      <c r="O26" s="18" t="n">
        <f aca="false">N26*J26</f>
        <v>720.751878346505</v>
      </c>
    </row>
    <row r="27" customFormat="false" ht="12.75" hidden="false" customHeight="false" outlineLevel="0" collapsed="false">
      <c r="A27" s="0" t="n">
        <v>26</v>
      </c>
      <c r="B27" s="0" t="n">
        <v>168</v>
      </c>
      <c r="C27" s="0" t="n">
        <v>62</v>
      </c>
      <c r="D27" s="14" t="n">
        <v>165</v>
      </c>
      <c r="E27" s="1" t="n">
        <v>57</v>
      </c>
      <c r="J27" s="0" t="s">
        <v>33</v>
      </c>
      <c r="K27" s="19" t="n">
        <f aca="false">SUM(K19:K26)</f>
        <v>168.8025</v>
      </c>
      <c r="L27" s="19" t="n">
        <f aca="false">SUM(L19:L26)</f>
        <v>-9.13158437754191E-015</v>
      </c>
      <c r="M27" s="19" t="n">
        <f aca="false">SUM(M19:M26)</f>
        <v>31.66365</v>
      </c>
      <c r="N27" s="19" t="n">
        <f aca="false">SUM(N19:N26)</f>
        <v>72.3850276874991</v>
      </c>
      <c r="O27" s="20" t="n">
        <f aca="false">SUM(O19:O26)</f>
        <v>2786.69465486062</v>
      </c>
    </row>
    <row r="28" customFormat="false" ht="12.75" hidden="false" customHeight="false" outlineLevel="0" collapsed="false">
      <c r="A28" s="0" t="n">
        <v>27</v>
      </c>
      <c r="B28" s="0" t="n">
        <v>163</v>
      </c>
      <c r="C28" s="0" t="n">
        <v>64</v>
      </c>
      <c r="D28" s="14" t="n">
        <v>165</v>
      </c>
      <c r="E28" s="1" t="n">
        <v>68</v>
      </c>
      <c r="G28" s="15" t="s">
        <v>42</v>
      </c>
      <c r="H28" s="7" t="n">
        <f aca="false">M27</f>
        <v>31.66365</v>
      </c>
      <c r="I28" s="15" t="s">
        <v>43</v>
      </c>
      <c r="J28" s="0" t="n">
        <f aca="false">N27</f>
        <v>72.3850276874991</v>
      </c>
      <c r="K28" s="15" t="s">
        <v>44</v>
      </c>
      <c r="L28" s="0" t="n">
        <f aca="false">O27</f>
        <v>2786.69465486062</v>
      </c>
    </row>
    <row r="29" customFormat="false" ht="12.75" hidden="false" customHeight="false" outlineLevel="0" collapsed="false">
      <c r="A29" s="0" t="n">
        <v>28</v>
      </c>
      <c r="B29" s="0" t="n">
        <v>164</v>
      </c>
      <c r="C29" s="0" t="n">
        <v>59</v>
      </c>
      <c r="D29" s="14" t="n">
        <v>165</v>
      </c>
      <c r="E29" s="1" t="n">
        <v>63</v>
      </c>
      <c r="G29" s="0" t="s">
        <v>45</v>
      </c>
      <c r="H29" s="7" t="n">
        <f aca="false">H28</f>
        <v>31.66365</v>
      </c>
      <c r="I29" s="0" t="s">
        <v>46</v>
      </c>
    </row>
    <row r="30" customFormat="false" ht="12.75" hidden="false" customHeight="false" outlineLevel="0" collapsed="false">
      <c r="A30" s="0" t="n">
        <v>29</v>
      </c>
      <c r="B30" s="0" t="n">
        <v>176</v>
      </c>
      <c r="C30" s="0" t="n">
        <v>70</v>
      </c>
      <c r="D30" s="14" t="n">
        <v>165</v>
      </c>
      <c r="E30" s="1" t="n">
        <v>68</v>
      </c>
      <c r="G30" s="0" t="s">
        <v>47</v>
      </c>
      <c r="H30" s="7" t="n">
        <f aca="false">SQRT(H29)</f>
        <v>5.62704629446035</v>
      </c>
      <c r="I30" s="0" t="s">
        <v>48</v>
      </c>
      <c r="K30" s="0" t="n">
        <f aca="false">100/99*H29</f>
        <v>31.9834848484849</v>
      </c>
      <c r="L30" s="0" t="s">
        <v>49</v>
      </c>
      <c r="M30" s="7" t="n">
        <f aca="false">K30^0.5</f>
        <v>5.65539431414688</v>
      </c>
    </row>
    <row r="31" customFormat="false" ht="12.75" hidden="false" customHeight="false" outlineLevel="0" collapsed="false">
      <c r="A31" s="0" t="n">
        <v>30</v>
      </c>
      <c r="B31" s="0" t="n">
        <v>166</v>
      </c>
      <c r="C31" s="0" t="n">
        <v>63</v>
      </c>
      <c r="D31" s="14" t="n">
        <v>165</v>
      </c>
      <c r="E31" s="1" t="n">
        <v>63</v>
      </c>
      <c r="G31" s="0" t="s">
        <v>50</v>
      </c>
      <c r="H31" s="7" t="n">
        <f aca="false">J28/(H30^3)</f>
        <v>0.406263008573901</v>
      </c>
      <c r="K31" s="0" t="s">
        <v>51</v>
      </c>
      <c r="L31" s="0" t="n">
        <v>1.96</v>
      </c>
    </row>
    <row r="32" customFormat="false" ht="12.75" hidden="false" customHeight="false" outlineLevel="0" collapsed="false">
      <c r="A32" s="0" t="n">
        <v>31</v>
      </c>
      <c r="B32" s="0" t="n">
        <v>167</v>
      </c>
      <c r="C32" s="0" t="n">
        <v>64</v>
      </c>
      <c r="D32" s="14" t="n">
        <v>165</v>
      </c>
      <c r="E32" s="1" t="n">
        <v>64</v>
      </c>
      <c r="G32" s="0" t="s">
        <v>52</v>
      </c>
      <c r="H32" s="7" t="n">
        <f aca="false">L28/(H30^4)-3</f>
        <v>-0.22049517732523</v>
      </c>
      <c r="J32" s="0" t="s">
        <v>14</v>
      </c>
      <c r="K32" s="0" t="s">
        <v>53</v>
      </c>
      <c r="L32" s="0" t="n">
        <f aca="false">M30*L31/10</f>
        <v>1.10845728557279</v>
      </c>
    </row>
    <row r="33" customFormat="false" ht="12.75" hidden="false" customHeight="false" outlineLevel="0" collapsed="false">
      <c r="A33" s="0" t="n">
        <v>32</v>
      </c>
      <c r="B33" s="0" t="n">
        <v>176</v>
      </c>
      <c r="C33" s="0" t="n">
        <v>65</v>
      </c>
      <c r="D33" s="21" t="n">
        <v>166</v>
      </c>
      <c r="E33" s="1" t="n">
        <v>60</v>
      </c>
      <c r="F33" s="0" t="s">
        <v>54</v>
      </c>
      <c r="I33" s="0" t="s">
        <v>55</v>
      </c>
      <c r="L33" s="4" t="n">
        <f aca="false">K27-L32</f>
        <v>167.694042714427</v>
      </c>
      <c r="M33" s="0" t="s">
        <v>56</v>
      </c>
      <c r="N33" s="4" t="n">
        <f aca="false">H17+L32</f>
        <v>169.910957285573</v>
      </c>
    </row>
    <row r="34" customFormat="false" ht="12.75" hidden="false" customHeight="false" outlineLevel="0" collapsed="false">
      <c r="A34" s="0" t="n">
        <v>33</v>
      </c>
      <c r="B34" s="0" t="n">
        <v>166</v>
      </c>
      <c r="C34" s="0" t="n">
        <v>60</v>
      </c>
      <c r="D34" s="21" t="n">
        <v>166</v>
      </c>
      <c r="E34" s="1" t="n">
        <v>55</v>
      </c>
      <c r="H34" s="0" t="s">
        <v>57</v>
      </c>
      <c r="J34" s="0" t="n">
        <v>0.143</v>
      </c>
      <c r="K34" s="0" t="s">
        <v>58</v>
      </c>
    </row>
    <row r="35" customFormat="false" ht="12.75" hidden="false" customHeight="false" outlineLevel="0" collapsed="false">
      <c r="A35" s="0" t="n">
        <v>34</v>
      </c>
      <c r="B35" s="0" t="n">
        <v>164</v>
      </c>
      <c r="C35" s="0" t="n">
        <v>59</v>
      </c>
      <c r="D35" s="21" t="n">
        <v>166</v>
      </c>
      <c r="E35" s="1" t="n">
        <v>67</v>
      </c>
      <c r="J35" s="4" t="n">
        <f aca="false">M30*(1-0.143)</f>
        <v>4.84667292722388</v>
      </c>
      <c r="K35" s="0" t="s">
        <v>59</v>
      </c>
      <c r="L35" s="4" t="n">
        <f aca="false">M30*(1+0.143)</f>
        <v>6.46411570106988</v>
      </c>
    </row>
    <row r="36" customFormat="false" ht="12.75" hidden="false" customHeight="false" outlineLevel="0" collapsed="false">
      <c r="A36" s="0" t="n">
        <v>1</v>
      </c>
      <c r="B36" s="0" t="n">
        <v>173</v>
      </c>
      <c r="C36" s="0" t="n">
        <v>74</v>
      </c>
      <c r="D36" s="21" t="n">
        <v>166</v>
      </c>
      <c r="E36" s="1" t="n">
        <v>55</v>
      </c>
      <c r="G36" s="8"/>
      <c r="H36" s="9" t="s">
        <v>16</v>
      </c>
      <c r="I36" s="9" t="s">
        <v>17</v>
      </c>
      <c r="J36" s="2" t="s">
        <v>60</v>
      </c>
      <c r="K36" s="2" t="s">
        <v>61</v>
      </c>
      <c r="L36" s="2" t="s">
        <v>62</v>
      </c>
      <c r="M36" s="2" t="s">
        <v>63</v>
      </c>
      <c r="N36" s="2" t="s">
        <v>64</v>
      </c>
      <c r="O36" s="2" t="s">
        <v>65</v>
      </c>
      <c r="P36" s="22" t="s">
        <v>34</v>
      </c>
    </row>
    <row r="37" customFormat="false" ht="12.75" hidden="false" customHeight="false" outlineLevel="0" collapsed="false">
      <c r="A37" s="0" t="n">
        <v>2</v>
      </c>
      <c r="B37" s="0" t="n">
        <v>174</v>
      </c>
      <c r="C37" s="0" t="n">
        <v>67</v>
      </c>
      <c r="D37" s="21" t="n">
        <v>166</v>
      </c>
      <c r="E37" s="1" t="n">
        <v>63</v>
      </c>
      <c r="G37" s="8" t="n">
        <v>1</v>
      </c>
      <c r="H37" s="11" t="n">
        <f aca="false">H7</f>
        <v>158</v>
      </c>
      <c r="I37" s="11" t="n">
        <f aca="false">H37+$H$4</f>
        <v>161.625</v>
      </c>
      <c r="J37" s="10" t="s">
        <v>66</v>
      </c>
      <c r="K37" s="11" t="n">
        <f aca="false">(I37-$K$27)/$H$30</f>
        <v>-1.27553597827443</v>
      </c>
      <c r="L37" s="2" t="n">
        <v>-0.5</v>
      </c>
      <c r="M37" s="2" t="n">
        <v>-0.3997</v>
      </c>
      <c r="N37" s="23" t="n">
        <f aca="false">M37-L37</f>
        <v>0.1003</v>
      </c>
      <c r="O37" s="11" t="n">
        <f aca="false">100*N37</f>
        <v>10.03</v>
      </c>
      <c r="P37" s="24" t="n">
        <f aca="false">M7</f>
        <v>0.09</v>
      </c>
    </row>
    <row r="38" customFormat="false" ht="12.75" hidden="false" customHeight="false" outlineLevel="0" collapsed="false">
      <c r="A38" s="0" t="n">
        <v>3</v>
      </c>
      <c r="B38" s="0" t="n">
        <v>167</v>
      </c>
      <c r="C38" s="0" t="n">
        <v>53</v>
      </c>
      <c r="D38" s="21" t="n">
        <v>166</v>
      </c>
      <c r="E38" s="1" t="n">
        <v>60</v>
      </c>
      <c r="G38" s="8" t="n">
        <v>2</v>
      </c>
      <c r="H38" s="11" t="n">
        <f aca="false">I37</f>
        <v>161.625</v>
      </c>
      <c r="I38" s="11" t="n">
        <f aca="false">H38+$H$4</f>
        <v>165.25</v>
      </c>
      <c r="J38" s="11" t="n">
        <f aca="false">(H38-$K$27)/$H$30</f>
        <v>-1.27553597827443</v>
      </c>
      <c r="K38" s="11" t="n">
        <f aca="false">(I38-$K$27)/$H$30</f>
        <v>-0.631325888236841</v>
      </c>
      <c r="L38" s="2" t="n">
        <f aca="false">M37</f>
        <v>-0.3997</v>
      </c>
      <c r="M38" s="2" t="n">
        <v>-0.2357</v>
      </c>
      <c r="N38" s="23" t="n">
        <f aca="false">M38-L38</f>
        <v>0.164</v>
      </c>
      <c r="O38" s="11" t="n">
        <f aca="false">100*N38</f>
        <v>16.4</v>
      </c>
      <c r="P38" s="24" t="n">
        <f aca="false">M8</f>
        <v>0.22</v>
      </c>
    </row>
    <row r="39" customFormat="false" ht="12.75" hidden="false" customHeight="false" outlineLevel="0" collapsed="false">
      <c r="A39" s="0" t="n">
        <v>4</v>
      </c>
      <c r="B39" s="0" t="n">
        <v>171</v>
      </c>
      <c r="C39" s="0" t="n">
        <v>67</v>
      </c>
      <c r="D39" s="21" t="n">
        <v>166</v>
      </c>
      <c r="E39" s="1" t="n">
        <v>55</v>
      </c>
      <c r="G39" s="8" t="n">
        <v>3</v>
      </c>
      <c r="H39" s="11" t="n">
        <f aca="false">I38</f>
        <v>165.25</v>
      </c>
      <c r="I39" s="11" t="n">
        <f aca="false">H39+$H$4</f>
        <v>168.875</v>
      </c>
      <c r="J39" s="11" t="n">
        <f aca="false">(H39-$K$27)/$H$30</f>
        <v>-0.631325888236841</v>
      </c>
      <c r="K39" s="11" t="n">
        <f aca="false">(I39-$K$27)/$H$30</f>
        <v>0.0128842018007502</v>
      </c>
      <c r="L39" s="2" t="n">
        <f aca="false">M38</f>
        <v>-0.2357</v>
      </c>
      <c r="M39" s="2" t="n">
        <v>0.004</v>
      </c>
      <c r="N39" s="23" t="n">
        <f aca="false">M39-L39</f>
        <v>0.2397</v>
      </c>
      <c r="O39" s="11" t="n">
        <f aca="false">100*N39</f>
        <v>23.97</v>
      </c>
      <c r="P39" s="24" t="n">
        <f aca="false">M9</f>
        <v>0.2</v>
      </c>
    </row>
    <row r="40" customFormat="false" ht="12.75" hidden="false" customHeight="false" outlineLevel="0" collapsed="false">
      <c r="A40" s="0" t="n">
        <v>5</v>
      </c>
      <c r="B40" s="0" t="n">
        <v>179</v>
      </c>
      <c r="C40" s="0" t="n">
        <v>80</v>
      </c>
      <c r="D40" s="21" t="n">
        <v>166</v>
      </c>
      <c r="E40" s="1" t="n">
        <v>57</v>
      </c>
      <c r="G40" s="8" t="n">
        <v>4</v>
      </c>
      <c r="H40" s="11" t="n">
        <f aca="false">I39</f>
        <v>168.875</v>
      </c>
      <c r="I40" s="11" t="n">
        <f aca="false">H40+$H$4</f>
        <v>172.5</v>
      </c>
      <c r="J40" s="11" t="n">
        <f aca="false">(H40-$K$27)/$H$30</f>
        <v>0.0128842018007502</v>
      </c>
      <c r="K40" s="11" t="n">
        <f aca="false">(I40-$K$27)/$H$30</f>
        <v>0.657094291838342</v>
      </c>
      <c r="L40" s="2" t="n">
        <f aca="false">M39</f>
        <v>0.004</v>
      </c>
      <c r="M40" s="2" t="n">
        <v>0.2454</v>
      </c>
      <c r="N40" s="23" t="n">
        <f aca="false">M40-L40</f>
        <v>0.2414</v>
      </c>
      <c r="O40" s="11" t="n">
        <f aca="false">100*N40</f>
        <v>24.14</v>
      </c>
      <c r="P40" s="24" t="n">
        <f aca="false">M10</f>
        <v>0.24</v>
      </c>
    </row>
    <row r="41" customFormat="false" ht="12.75" hidden="false" customHeight="false" outlineLevel="0" collapsed="false">
      <c r="A41" s="0" t="n">
        <v>6</v>
      </c>
      <c r="B41" s="0" t="n">
        <v>172</v>
      </c>
      <c r="C41" s="0" t="n">
        <v>70</v>
      </c>
      <c r="D41" s="21" t="n">
        <v>167</v>
      </c>
      <c r="E41" s="1" t="n">
        <v>64</v>
      </c>
      <c r="G41" s="8" t="n">
        <v>5</v>
      </c>
      <c r="H41" s="11" t="n">
        <f aca="false">I40</f>
        <v>172.5</v>
      </c>
      <c r="I41" s="11" t="n">
        <f aca="false">H41+$H$4</f>
        <v>176.125</v>
      </c>
      <c r="J41" s="11" t="n">
        <f aca="false">(H41-$K$27)/$H$30</f>
        <v>0.657094291838342</v>
      </c>
      <c r="K41" s="11" t="n">
        <f aca="false">(I41-$K$27)/$H$30</f>
        <v>1.30130438187593</v>
      </c>
      <c r="L41" s="2" t="n">
        <f aca="false">M40</f>
        <v>0.2454</v>
      </c>
      <c r="M41" s="2" t="n">
        <v>0.4032</v>
      </c>
      <c r="N41" s="23" t="n">
        <f aca="false">M41-L41</f>
        <v>0.1578</v>
      </c>
      <c r="O41" s="11" t="n">
        <f aca="false">100*N41</f>
        <v>15.78</v>
      </c>
      <c r="P41" s="24" t="n">
        <f aca="false">M11</f>
        <v>0.16</v>
      </c>
    </row>
    <row r="42" customFormat="false" ht="12.75" hidden="false" customHeight="false" outlineLevel="0" collapsed="false">
      <c r="A42" s="0" t="n">
        <v>7</v>
      </c>
      <c r="B42" s="0" t="n">
        <v>167</v>
      </c>
      <c r="C42" s="0" t="n">
        <v>65</v>
      </c>
      <c r="D42" s="21" t="n">
        <v>167</v>
      </c>
      <c r="E42" s="1" t="n">
        <v>53</v>
      </c>
      <c r="G42" s="8" t="n">
        <v>6</v>
      </c>
      <c r="H42" s="11" t="n">
        <f aca="false">I41</f>
        <v>176.125</v>
      </c>
      <c r="I42" s="11" t="n">
        <f aca="false">H42+$H$4</f>
        <v>179.75</v>
      </c>
      <c r="J42" s="11" t="n">
        <f aca="false">(H42-$K$27)/$H$30</f>
        <v>1.30130438187593</v>
      </c>
      <c r="K42" s="11" t="n">
        <f aca="false">(I42-$K$27)/$H$30</f>
        <v>1.94551447191352</v>
      </c>
      <c r="L42" s="2" t="n">
        <f aca="false">M41</f>
        <v>0.4032</v>
      </c>
      <c r="M42" s="2" t="n">
        <v>0.4744</v>
      </c>
      <c r="N42" s="23" t="n">
        <f aca="false">M42-L42</f>
        <v>0.0712</v>
      </c>
      <c r="O42" s="11" t="n">
        <f aca="false">100*N42</f>
        <v>7.12</v>
      </c>
      <c r="P42" s="24" t="n">
        <f aca="false">M12</f>
        <v>0.05</v>
      </c>
    </row>
    <row r="43" customFormat="false" ht="12.75" hidden="false" customHeight="false" outlineLevel="0" collapsed="false">
      <c r="A43" s="0" t="n">
        <v>8</v>
      </c>
      <c r="B43" s="0" t="n">
        <v>164</v>
      </c>
      <c r="C43" s="0" t="n">
        <v>60</v>
      </c>
      <c r="D43" s="21" t="n">
        <v>167</v>
      </c>
      <c r="E43" s="1" t="n">
        <v>65</v>
      </c>
      <c r="G43" s="8" t="n">
        <v>7</v>
      </c>
      <c r="H43" s="11" t="n">
        <f aca="false">I42</f>
        <v>179.75</v>
      </c>
      <c r="I43" s="11" t="n">
        <f aca="false">H43+$H$4</f>
        <v>183.375</v>
      </c>
      <c r="J43" s="11" t="n">
        <f aca="false">(H43-$K$27)/$H$30</f>
        <v>1.94551447191352</v>
      </c>
      <c r="K43" s="11" t="n">
        <f aca="false">(I43-$K$27)/$H$30</f>
        <v>2.58972456195112</v>
      </c>
      <c r="L43" s="2" t="n">
        <f aca="false">M42</f>
        <v>0.4744</v>
      </c>
      <c r="M43" s="0" t="n">
        <v>0.4952</v>
      </c>
      <c r="N43" s="23" t="n">
        <f aca="false">M43-L43</f>
        <v>0.0208</v>
      </c>
      <c r="O43" s="11" t="n">
        <f aca="false">100*N43</f>
        <v>2.08</v>
      </c>
      <c r="P43" s="24" t="n">
        <f aca="false">M13</f>
        <v>0.03</v>
      </c>
    </row>
    <row r="44" customFormat="false" ht="12.75" hidden="false" customHeight="false" outlineLevel="0" collapsed="false">
      <c r="A44" s="0" t="n">
        <v>9</v>
      </c>
      <c r="B44" s="0" t="n">
        <v>164</v>
      </c>
      <c r="C44" s="0" t="n">
        <v>61</v>
      </c>
      <c r="D44" s="21" t="n">
        <v>167</v>
      </c>
      <c r="E44" s="1" t="n">
        <v>63</v>
      </c>
      <c r="G44" s="8" t="n">
        <v>8</v>
      </c>
      <c r="H44" s="11" t="n">
        <f aca="false">I43</f>
        <v>183.375</v>
      </c>
      <c r="I44" s="11" t="n">
        <f aca="false">H44+$H$4</f>
        <v>187</v>
      </c>
      <c r="J44" s="11" t="n">
        <f aca="false">(H44-$K$27)/$H$30</f>
        <v>2.58972456195112</v>
      </c>
      <c r="K44" s="11" t="n">
        <f aca="false">(I44-$K$27)/$H$30</f>
        <v>3.23393465198871</v>
      </c>
      <c r="L44" s="2" t="n">
        <f aca="false">M43</f>
        <v>0.4952</v>
      </c>
      <c r="M44" s="2" t="n">
        <v>0.5</v>
      </c>
      <c r="N44" s="23" t="n">
        <f aca="false">M44-L44</f>
        <v>0.00480000000000003</v>
      </c>
      <c r="O44" s="11" t="n">
        <f aca="false">100*N44</f>
        <v>0.480000000000003</v>
      </c>
      <c r="P44" s="24" t="n">
        <f aca="false">M14</f>
        <v>0.01</v>
      </c>
    </row>
    <row r="45" customFormat="false" ht="12.75" hidden="false" customHeight="false" outlineLevel="0" collapsed="false">
      <c r="A45" s="0" t="n">
        <v>10</v>
      </c>
      <c r="B45" s="0" t="n">
        <v>179</v>
      </c>
      <c r="C45" s="0" t="n">
        <v>69</v>
      </c>
      <c r="D45" s="21" t="n">
        <v>167</v>
      </c>
      <c r="E45" s="1" t="n">
        <v>65</v>
      </c>
      <c r="N45" s="23" t="n">
        <f aca="false">SUM(N37:N44)</f>
        <v>1</v>
      </c>
      <c r="O45" s="11" t="n">
        <f aca="false">SUM(O37:O44)</f>
        <v>100</v>
      </c>
    </row>
    <row r="46" customFormat="false" ht="12.75" hidden="false" customHeight="false" outlineLevel="0" collapsed="false">
      <c r="A46" s="0" t="n">
        <v>11</v>
      </c>
      <c r="B46" s="0" t="n">
        <v>170</v>
      </c>
      <c r="C46" s="0" t="n">
        <v>69</v>
      </c>
      <c r="D46" s="21" t="n">
        <v>167</v>
      </c>
      <c r="E46" s="1" t="n">
        <v>53</v>
      </c>
    </row>
    <row r="47" customFormat="false" ht="12.75" hidden="false" customHeight="false" outlineLevel="0" collapsed="false">
      <c r="A47" s="0" t="n">
        <v>12</v>
      </c>
      <c r="B47" s="0" t="n">
        <v>173</v>
      </c>
      <c r="C47" s="0" t="n">
        <v>72</v>
      </c>
      <c r="D47" s="21" t="n">
        <v>167</v>
      </c>
      <c r="E47" s="1" t="n">
        <v>63</v>
      </c>
      <c r="G47" s="2" t="s">
        <v>67</v>
      </c>
      <c r="H47" s="24" t="s">
        <v>16</v>
      </c>
      <c r="I47" s="9" t="s">
        <v>17</v>
      </c>
      <c r="J47" s="9" t="s">
        <v>18</v>
      </c>
      <c r="K47" s="25" t="s">
        <v>68</v>
      </c>
      <c r="L47" s="2" t="s">
        <v>65</v>
      </c>
      <c r="M47" s="26" t="s">
        <v>65</v>
      </c>
      <c r="N47" s="26" t="s">
        <v>69</v>
      </c>
      <c r="O47" s="2" t="s">
        <v>70</v>
      </c>
      <c r="P47" s="0" t="s">
        <v>71</v>
      </c>
      <c r="Q47" s="2"/>
    </row>
    <row r="48" customFormat="false" ht="12.75" hidden="false" customHeight="false" outlineLevel="0" collapsed="false">
      <c r="A48" s="0" t="n">
        <v>13</v>
      </c>
      <c r="B48" s="0" t="n">
        <v>162</v>
      </c>
      <c r="C48" s="0" t="n">
        <v>61</v>
      </c>
      <c r="D48" s="21" t="n">
        <v>167</v>
      </c>
      <c r="E48" s="1" t="n">
        <v>58</v>
      </c>
      <c r="G48" s="27" t="n">
        <f aca="false">N37/$K$27</f>
        <v>0.000594185512655322</v>
      </c>
      <c r="H48" s="11" t="n">
        <f aca="false">H37</f>
        <v>158</v>
      </c>
      <c r="I48" s="11" t="n">
        <f aca="false">I37</f>
        <v>161.625</v>
      </c>
      <c r="J48" s="2" t="n">
        <f aca="false">J7</f>
        <v>9</v>
      </c>
      <c r="K48" s="28" t="n">
        <f aca="false">J48</f>
        <v>9</v>
      </c>
      <c r="L48" s="7" t="n">
        <f aca="false">O37</f>
        <v>10.03</v>
      </c>
      <c r="M48" s="29" t="n">
        <f aca="false">L48</f>
        <v>10.03</v>
      </c>
      <c r="N48" s="29" t="n">
        <f aca="false">K48-M48</f>
        <v>-1.03</v>
      </c>
      <c r="O48" s="7" t="n">
        <f aca="false">N48*N48/M48</f>
        <v>0.105772681954137</v>
      </c>
      <c r="P48" s="0" t="n">
        <f aca="false">K48*K48/M48</f>
        <v>8.07577268195414</v>
      </c>
      <c r="Q48" s="2" t="n">
        <v>1</v>
      </c>
    </row>
    <row r="49" customFormat="false" ht="12.75" hidden="false" customHeight="false" outlineLevel="0" collapsed="false">
      <c r="A49" s="0" t="n">
        <v>14</v>
      </c>
      <c r="B49" s="0" t="n">
        <v>167</v>
      </c>
      <c r="C49" s="0" t="n">
        <v>63</v>
      </c>
      <c r="D49" s="21" t="n">
        <v>167</v>
      </c>
      <c r="E49" s="1" t="n">
        <v>63</v>
      </c>
      <c r="G49" s="27" t="n">
        <f aca="false">N38/$K$27</f>
        <v>0.000971549591978792</v>
      </c>
      <c r="H49" s="11" t="n">
        <f aca="false">H38</f>
        <v>161.625</v>
      </c>
      <c r="I49" s="11" t="n">
        <f aca="false">I38</f>
        <v>165.25</v>
      </c>
      <c r="J49" s="13" t="n">
        <f aca="false">J8</f>
        <v>22</v>
      </c>
      <c r="K49" s="28" t="n">
        <f aca="false">J49</f>
        <v>22</v>
      </c>
      <c r="L49" s="7" t="n">
        <f aca="false">O38</f>
        <v>16.4</v>
      </c>
      <c r="M49" s="29" t="n">
        <f aca="false">L49</f>
        <v>16.4</v>
      </c>
      <c r="N49" s="29" t="n">
        <f aca="false">K49-M49</f>
        <v>5.6</v>
      </c>
      <c r="O49" s="7" t="n">
        <f aca="false">N49*N49/M49</f>
        <v>1.91219512195122</v>
      </c>
      <c r="P49" s="0" t="n">
        <f aca="false">K49*K49/M49</f>
        <v>29.5121951219512</v>
      </c>
      <c r="Q49" s="2" t="n">
        <v>2</v>
      </c>
    </row>
    <row r="50" customFormat="false" ht="12.75" hidden="false" customHeight="false" outlineLevel="0" collapsed="false">
      <c r="A50" s="0" t="n">
        <v>15</v>
      </c>
      <c r="B50" s="0" t="n">
        <v>173</v>
      </c>
      <c r="C50" s="0" t="n">
        <v>69</v>
      </c>
      <c r="D50" s="21" t="n">
        <v>168</v>
      </c>
      <c r="E50" s="1" t="n">
        <v>62</v>
      </c>
      <c r="G50" s="27" t="n">
        <f aca="false">N39/$K$27</f>
        <v>0.00142000266583729</v>
      </c>
      <c r="H50" s="11" t="n">
        <f aca="false">H39</f>
        <v>165.25</v>
      </c>
      <c r="I50" s="11" t="n">
        <f aca="false">I39</f>
        <v>168.875</v>
      </c>
      <c r="J50" s="13" t="n">
        <f aca="false">J9</f>
        <v>20</v>
      </c>
      <c r="K50" s="28" t="n">
        <f aca="false">J50</f>
        <v>20</v>
      </c>
      <c r="L50" s="7" t="n">
        <f aca="false">O39</f>
        <v>23.97</v>
      </c>
      <c r="M50" s="29" t="n">
        <f aca="false">L50</f>
        <v>23.97</v>
      </c>
      <c r="N50" s="29" t="n">
        <f aca="false">K50-M50</f>
        <v>-3.97</v>
      </c>
      <c r="O50" s="7" t="n">
        <f aca="false">N50*N50/M50</f>
        <v>0.657526074259491</v>
      </c>
      <c r="P50" s="0" t="n">
        <f aca="false">K50*K50/M50</f>
        <v>16.6875260742595</v>
      </c>
      <c r="Q50" s="2" t="n">
        <v>3</v>
      </c>
    </row>
    <row r="51" customFormat="false" ht="12.75" hidden="false" customHeight="false" outlineLevel="0" collapsed="false">
      <c r="A51" s="0" t="n">
        <v>16</v>
      </c>
      <c r="B51" s="0" t="n">
        <v>174</v>
      </c>
      <c r="C51" s="0" t="n">
        <v>74</v>
      </c>
      <c r="D51" s="21" t="n">
        <v>168</v>
      </c>
      <c r="E51" s="1" t="n">
        <v>54</v>
      </c>
      <c r="G51" s="27" t="n">
        <f aca="false">N40/$K$27</f>
        <v>0.00143007360672976</v>
      </c>
      <c r="H51" s="11" t="n">
        <f aca="false">H40</f>
        <v>168.875</v>
      </c>
      <c r="I51" s="11" t="n">
        <f aca="false">I40</f>
        <v>172.5</v>
      </c>
      <c r="J51" s="13" t="n">
        <f aca="false">J10</f>
        <v>24</v>
      </c>
      <c r="K51" s="28" t="n">
        <f aca="false">J51</f>
        <v>24</v>
      </c>
      <c r="L51" s="7" t="n">
        <f aca="false">O40</f>
        <v>24.14</v>
      </c>
      <c r="M51" s="29" t="n">
        <f aca="false">L51</f>
        <v>24.14</v>
      </c>
      <c r="N51" s="29" t="n">
        <f aca="false">K51-M51</f>
        <v>-0.140000000000001</v>
      </c>
      <c r="O51" s="7" t="n">
        <f aca="false">N51*N51/M51</f>
        <v>0.00081193040596521</v>
      </c>
      <c r="P51" s="0" t="n">
        <f aca="false">K51*K51/M51</f>
        <v>23.860811930406</v>
      </c>
      <c r="Q51" s="2" t="n">
        <v>4</v>
      </c>
    </row>
    <row r="52" customFormat="false" ht="12.75" hidden="false" customHeight="false" outlineLevel="0" collapsed="false">
      <c r="A52" s="0" t="n">
        <v>17</v>
      </c>
      <c r="B52" s="0" t="n">
        <v>170</v>
      </c>
      <c r="C52" s="0" t="n">
        <v>65</v>
      </c>
      <c r="D52" s="21" t="n">
        <v>168</v>
      </c>
      <c r="E52" s="1" t="n">
        <v>68</v>
      </c>
      <c r="G52" s="27" t="n">
        <f aca="false">N41/$K$27</f>
        <v>0.000934820278135691</v>
      </c>
      <c r="H52" s="11" t="n">
        <f aca="false">H41</f>
        <v>172.5</v>
      </c>
      <c r="I52" s="11" t="n">
        <f aca="false">I41</f>
        <v>176.125</v>
      </c>
      <c r="J52" s="13" t="n">
        <f aca="false">J11</f>
        <v>16</v>
      </c>
      <c r="K52" s="28" t="n">
        <f aca="false">J52</f>
        <v>16</v>
      </c>
      <c r="L52" s="7" t="n">
        <f aca="false">O41</f>
        <v>15.78</v>
      </c>
      <c r="M52" s="29" t="n">
        <f aca="false">L52</f>
        <v>15.78</v>
      </c>
      <c r="N52" s="29" t="n">
        <f aca="false">K52-M52</f>
        <v>0.220000000000001</v>
      </c>
      <c r="O52" s="7" t="n">
        <f aca="false">N52*N52/M52</f>
        <v>0.00306717363751586</v>
      </c>
      <c r="P52" s="0" t="n">
        <f aca="false">K52*K52/M52</f>
        <v>16.2230671736375</v>
      </c>
      <c r="Q52" s="2" t="n">
        <v>5</v>
      </c>
    </row>
    <row r="53" customFormat="false" ht="12.75" hidden="false" customHeight="false" outlineLevel="0" collapsed="false">
      <c r="A53" s="0" t="n">
        <v>18</v>
      </c>
      <c r="B53" s="0" t="n">
        <v>160</v>
      </c>
      <c r="C53" s="0" t="n">
        <v>60</v>
      </c>
      <c r="D53" s="30" t="n">
        <v>169</v>
      </c>
      <c r="E53" s="1" t="n">
        <v>73</v>
      </c>
      <c r="F53" s="0" t="s">
        <v>72</v>
      </c>
      <c r="G53" s="27" t="n">
        <f aca="false">N42/$K$27</f>
        <v>0.000421794700907866</v>
      </c>
      <c r="H53" s="11" t="n">
        <f aca="false">H42</f>
        <v>176.125</v>
      </c>
      <c r="I53" s="11" t="n">
        <f aca="false">I42</f>
        <v>179.75</v>
      </c>
      <c r="J53" s="13" t="n">
        <f aca="false">J12</f>
        <v>5</v>
      </c>
      <c r="K53" s="28" t="n">
        <f aca="false">J53+J54+J55</f>
        <v>9</v>
      </c>
      <c r="L53" s="7" t="n">
        <f aca="false">O42</f>
        <v>7.12</v>
      </c>
      <c r="M53" s="28" t="n">
        <f aca="false">L53+L54+L55</f>
        <v>9.68</v>
      </c>
      <c r="N53" s="29" t="n">
        <f aca="false">K53-M53</f>
        <v>-0.679999999999998</v>
      </c>
      <c r="O53" s="7" t="n">
        <f aca="false">N53*N53/M53</f>
        <v>0.047768595041322</v>
      </c>
      <c r="P53" s="0" t="n">
        <f aca="false">K53*K53/M53</f>
        <v>8.36776859504133</v>
      </c>
      <c r="Q53" s="2" t="n">
        <v>6</v>
      </c>
    </row>
    <row r="54" customFormat="false" ht="12.75" hidden="false" customHeight="false" outlineLevel="0" collapsed="false">
      <c r="A54" s="0" t="n">
        <v>19</v>
      </c>
      <c r="B54" s="0" t="n">
        <v>171</v>
      </c>
      <c r="C54" s="0" t="n">
        <v>64</v>
      </c>
      <c r="D54" s="30" t="n">
        <v>169</v>
      </c>
      <c r="E54" s="1" t="n">
        <v>60</v>
      </c>
      <c r="G54" s="27" t="n">
        <f aca="false">N43/$K$27</f>
        <v>0.000123220923860725</v>
      </c>
      <c r="H54" s="11" t="n">
        <f aca="false">H43</f>
        <v>179.75</v>
      </c>
      <c r="I54" s="11" t="n">
        <f aca="false">I43</f>
        <v>183.375</v>
      </c>
      <c r="J54" s="13" t="n">
        <f aca="false">J13</f>
        <v>3</v>
      </c>
      <c r="K54" s="28"/>
      <c r="L54" s="7" t="n">
        <f aca="false">O43</f>
        <v>2.08</v>
      </c>
      <c r="M54" s="29"/>
      <c r="N54" s="29"/>
      <c r="O54" s="7"/>
      <c r="Q54" s="2" t="n">
        <v>7</v>
      </c>
    </row>
    <row r="55" customFormat="false" ht="12.75" hidden="false" customHeight="false" outlineLevel="0" collapsed="false">
      <c r="A55" s="0" t="n">
        <v>20</v>
      </c>
      <c r="B55" s="0" t="n">
        <v>173</v>
      </c>
      <c r="C55" s="0" t="n">
        <v>77</v>
      </c>
      <c r="D55" s="30" t="n">
        <v>169</v>
      </c>
      <c r="E55" s="1" t="n">
        <v>57</v>
      </c>
      <c r="G55" s="27" t="n">
        <f aca="false">N44/$K$27</f>
        <v>2.84355978140136E-005</v>
      </c>
      <c r="H55" s="11" t="n">
        <f aca="false">H44</f>
        <v>183.375</v>
      </c>
      <c r="I55" s="11" t="n">
        <f aca="false">I44</f>
        <v>187</v>
      </c>
      <c r="J55" s="13" t="n">
        <f aca="false">J14</f>
        <v>1</v>
      </c>
      <c r="K55" s="28"/>
      <c r="L55" s="7" t="n">
        <f aca="false">O44</f>
        <v>0.480000000000003</v>
      </c>
      <c r="M55" s="29"/>
      <c r="N55" s="29"/>
      <c r="O55" s="7"/>
      <c r="Q55" s="2" t="n">
        <v>8</v>
      </c>
    </row>
    <row r="56" customFormat="false" ht="12.75" hidden="false" customHeight="false" outlineLevel="0" collapsed="false">
      <c r="A56" s="0" t="n">
        <v>21</v>
      </c>
      <c r="B56" s="0" t="n">
        <v>168</v>
      </c>
      <c r="C56" s="0" t="n">
        <v>54</v>
      </c>
      <c r="D56" s="30" t="n">
        <v>169</v>
      </c>
      <c r="E56" s="1" t="n">
        <v>61</v>
      </c>
      <c r="K56" s="13" t="n">
        <f aca="false">SUM(K48:K55)</f>
        <v>100</v>
      </c>
      <c r="L56" s="13" t="n">
        <f aca="false">SUM(L48:L55)</f>
        <v>100</v>
      </c>
      <c r="M56" s="7" t="n">
        <f aca="false">SUM(M48:M54)</f>
        <v>100</v>
      </c>
      <c r="N56" s="0" t="s">
        <v>73</v>
      </c>
      <c r="O56" s="7" t="n">
        <f aca="false">SUM(O48:O55)</f>
        <v>2.72714157724965</v>
      </c>
      <c r="P56" s="7" t="n">
        <f aca="false">SUM(P48:P55)</f>
        <v>102.72714157725</v>
      </c>
    </row>
    <row r="57" customFormat="false" ht="12.75" hidden="false" customHeight="false" outlineLevel="0" collapsed="false">
      <c r="A57" s="0" t="n">
        <v>22</v>
      </c>
      <c r="B57" s="0" t="n">
        <v>172</v>
      </c>
      <c r="C57" s="0" t="n">
        <v>70</v>
      </c>
      <c r="D57" s="30" t="n">
        <v>169</v>
      </c>
      <c r="E57" s="1" t="n">
        <v>75</v>
      </c>
      <c r="L57" s="0" t="s">
        <v>74</v>
      </c>
      <c r="M57" s="0" t="s">
        <v>75</v>
      </c>
      <c r="N57" s="0" t="n">
        <f aca="false">H30/SQRT(100)</f>
        <v>0.562704629446035</v>
      </c>
      <c r="P57" s="7" t="n">
        <f aca="false">P56-100</f>
        <v>2.72714157724967</v>
      </c>
    </row>
    <row r="58" customFormat="false" ht="12.75" hidden="false" customHeight="false" outlineLevel="0" collapsed="false">
      <c r="A58" s="0" t="n">
        <v>23</v>
      </c>
      <c r="B58" s="0" t="n">
        <v>175</v>
      </c>
      <c r="C58" s="0" t="n">
        <v>59</v>
      </c>
      <c r="D58" s="30" t="n">
        <v>170</v>
      </c>
      <c r="E58" s="1" t="n">
        <v>73</v>
      </c>
      <c r="G58" s="4"/>
      <c r="H58" s="7"/>
      <c r="J58" s="4"/>
      <c r="L58" s="0" t="s">
        <v>76</v>
      </c>
      <c r="M58" s="0" t="s">
        <v>77</v>
      </c>
      <c r="N58" s="7" t="n">
        <v>7.8</v>
      </c>
      <c r="P58" s="0" t="s">
        <v>14</v>
      </c>
    </row>
    <row r="59" customFormat="false" ht="12.75" hidden="false" customHeight="false" outlineLevel="0" collapsed="false">
      <c r="A59" s="0" t="n">
        <v>24</v>
      </c>
      <c r="B59" s="0" t="n">
        <v>164</v>
      </c>
      <c r="C59" s="0" t="n">
        <v>61</v>
      </c>
      <c r="D59" s="30" t="n">
        <v>170</v>
      </c>
      <c r="E59" s="1" t="n">
        <v>69</v>
      </c>
    </row>
    <row r="60" customFormat="false" ht="12.75" hidden="false" customHeight="false" outlineLevel="0" collapsed="false">
      <c r="A60" s="0" t="n">
        <v>25</v>
      </c>
      <c r="B60" s="0" t="n">
        <v>167</v>
      </c>
      <c r="C60" s="0" t="n">
        <v>65</v>
      </c>
      <c r="D60" s="30" t="n">
        <v>170</v>
      </c>
      <c r="E60" s="1" t="n">
        <v>65</v>
      </c>
      <c r="H60" s="5" t="s">
        <v>78</v>
      </c>
      <c r="I60" s="5"/>
      <c r="J60" s="5"/>
      <c r="K60" s="0" t="s">
        <v>79</v>
      </c>
    </row>
    <row r="61" customFormat="false" ht="12.75" hidden="false" customHeight="false" outlineLevel="0" collapsed="false">
      <c r="A61" s="0" t="n">
        <v>26</v>
      </c>
      <c r="B61" s="0" t="n">
        <v>169</v>
      </c>
      <c r="C61" s="0" t="n">
        <v>57</v>
      </c>
      <c r="D61" s="30" t="n">
        <v>171</v>
      </c>
      <c r="E61" s="1" t="n">
        <v>72</v>
      </c>
    </row>
    <row r="62" customFormat="false" ht="12.75" hidden="false" customHeight="false" outlineLevel="0" collapsed="false">
      <c r="A62" s="0" t="n">
        <v>27</v>
      </c>
      <c r="B62" s="0" t="n">
        <v>166</v>
      </c>
      <c r="C62" s="0" t="n">
        <v>55</v>
      </c>
      <c r="D62" s="30" t="n">
        <v>171</v>
      </c>
      <c r="E62" s="1" t="n">
        <v>67</v>
      </c>
      <c r="G62" s="0" t="s">
        <v>80</v>
      </c>
      <c r="I62" s="0" t="n">
        <f aca="false">MIN(C2:C101)</f>
        <v>50</v>
      </c>
      <c r="J62" s="0" t="s">
        <v>81</v>
      </c>
      <c r="K62" s="0" t="n">
        <f aca="false">MAX(C2:C101)</f>
        <v>84</v>
      </c>
      <c r="L62" s="0" t="str">
        <f aca="false">G3</f>
        <v>k=</v>
      </c>
      <c r="M62" s="0" t="n">
        <f aca="false">H3</f>
        <v>8</v>
      </c>
      <c r="O62" s="0" t="str">
        <f aca="false">G4</f>
        <v>h=</v>
      </c>
      <c r="P62" s="0" t="n">
        <f aca="false">H63/M62</f>
        <v>4.25</v>
      </c>
    </row>
    <row r="63" customFormat="false" ht="12.75" hidden="false" customHeight="false" outlineLevel="0" collapsed="false">
      <c r="A63" s="0" t="n">
        <v>28</v>
      </c>
      <c r="B63" s="0" t="n">
        <v>162</v>
      </c>
      <c r="C63" s="0" t="n">
        <v>56</v>
      </c>
      <c r="D63" s="30" t="n">
        <v>171</v>
      </c>
      <c r="E63" s="1" t="n">
        <v>67</v>
      </c>
      <c r="G63" s="0" t="str">
        <f aca="false">G2</f>
        <v>R</v>
      </c>
      <c r="H63" s="0" t="n">
        <f aca="false">K62-I62</f>
        <v>34</v>
      </c>
      <c r="I63" s="0" t="str">
        <f aca="false">I2</f>
        <v>разброс</v>
      </c>
    </row>
    <row r="64" customFormat="false" ht="12.75" hidden="false" customHeight="false" outlineLevel="0" collapsed="false">
      <c r="A64" s="0" t="n">
        <v>29</v>
      </c>
      <c r="B64" s="0" t="n">
        <v>164</v>
      </c>
      <c r="C64" s="0" t="n">
        <v>62</v>
      </c>
      <c r="D64" s="30" t="n">
        <v>171</v>
      </c>
      <c r="E64" s="1" t="n">
        <v>64</v>
      </c>
      <c r="I64" s="0" t="s">
        <v>1</v>
      </c>
      <c r="J64" s="2" t="n">
        <v>0</v>
      </c>
      <c r="K64" s="2" t="n">
        <v>1</v>
      </c>
      <c r="L64" s="2" t="n">
        <v>2</v>
      </c>
      <c r="M64" s="2" t="n">
        <v>3</v>
      </c>
      <c r="N64" s="2" t="n">
        <v>4</v>
      </c>
      <c r="O64" s="2" t="n">
        <v>5</v>
      </c>
      <c r="P64" s="2" t="n">
        <v>6</v>
      </c>
      <c r="Q64" s="2" t="n">
        <v>7</v>
      </c>
      <c r="R64" s="2" t="n">
        <v>8</v>
      </c>
    </row>
    <row r="65" customFormat="false" ht="12.75" hidden="false" customHeight="false" outlineLevel="0" collapsed="false">
      <c r="A65" s="0" t="n">
        <v>30</v>
      </c>
      <c r="B65" s="0" t="n">
        <v>171</v>
      </c>
      <c r="C65" s="0" t="n">
        <v>76</v>
      </c>
      <c r="D65" s="30" t="n">
        <v>171</v>
      </c>
      <c r="E65" s="1" t="n">
        <v>76</v>
      </c>
      <c r="H65" s="0" t="s">
        <v>0</v>
      </c>
      <c r="J65" s="11" t="n">
        <f aca="false">I62</f>
        <v>50</v>
      </c>
      <c r="K65" s="11" t="n">
        <f aca="false">J65+$P$62</f>
        <v>54.25</v>
      </c>
      <c r="L65" s="11" t="n">
        <f aca="false">K65+$P$62</f>
        <v>58.5</v>
      </c>
      <c r="M65" s="11" t="n">
        <f aca="false">L65+$P$62</f>
        <v>62.75</v>
      </c>
      <c r="N65" s="11" t="n">
        <f aca="false">M65+$P$62</f>
        <v>67</v>
      </c>
      <c r="O65" s="11" t="n">
        <f aca="false">N65+$P$62</f>
        <v>71.25</v>
      </c>
      <c r="P65" s="11" t="n">
        <f aca="false">O65+$P$62</f>
        <v>75.5</v>
      </c>
      <c r="Q65" s="11" t="n">
        <f aca="false">P65+$P$62</f>
        <v>79.75</v>
      </c>
      <c r="R65" s="31" t="n">
        <f aca="false">Q65+$P$62</f>
        <v>84</v>
      </c>
    </row>
    <row r="66" customFormat="false" ht="12.75" hidden="false" customHeight="false" outlineLevel="0" collapsed="false">
      <c r="A66" s="0" t="n">
        <v>31</v>
      </c>
      <c r="B66" s="0" t="n">
        <v>161</v>
      </c>
      <c r="C66" s="0" t="n">
        <v>52</v>
      </c>
      <c r="D66" s="30" t="n">
        <v>171</v>
      </c>
      <c r="E66" s="1" t="n">
        <v>60</v>
      </c>
      <c r="G66" s="8" t="n">
        <f aca="false">G7</f>
        <v>1</v>
      </c>
      <c r="H66" s="11" t="n">
        <f aca="false">H7</f>
        <v>158</v>
      </c>
      <c r="I66" s="11" t="n">
        <f aca="false">I7</f>
        <v>161.625</v>
      </c>
      <c r="J66" s="32"/>
      <c r="K66" s="33" t="n">
        <f aca="false">COUNTIF($E$2:$E$10,"&lt;=54")</f>
        <v>3</v>
      </c>
      <c r="L66" s="34" t="n">
        <f aca="false">COUNTIF(E2:E10,"&lt;=58")-K66</f>
        <v>2</v>
      </c>
      <c r="M66" s="30" t="n">
        <f aca="false">COUNTIF(E2:E10,"&lt;=62")-L66-K66</f>
        <v>2</v>
      </c>
      <c r="N66" s="35" t="n">
        <f aca="false">COUNTIF($E$2:$E$10,"&lt;=67")-M66-L66-K66</f>
        <v>1</v>
      </c>
      <c r="O66" s="5" t="n">
        <f aca="false">COUNTIF($E$2:$E$10,"&lt;=71")-N66-M66-L66-K66</f>
        <v>1</v>
      </c>
      <c r="P66" s="6" t="n">
        <v>0</v>
      </c>
      <c r="Q66" s="36" t="n">
        <v>0</v>
      </c>
      <c r="R66" s="37" t="n">
        <v>0</v>
      </c>
      <c r="S66" s="0" t="n">
        <f aca="false">SUM(K66:R66)</f>
        <v>9</v>
      </c>
      <c r="T66" s="0" t="n">
        <f aca="false">J48</f>
        <v>9</v>
      </c>
      <c r="U66" s="0" t="n">
        <f aca="false">G66</f>
        <v>1</v>
      </c>
    </row>
    <row r="67" customFormat="false" ht="12.75" hidden="false" customHeight="false" outlineLevel="0" collapsed="false">
      <c r="A67" s="0" t="n">
        <v>32</v>
      </c>
      <c r="B67" s="0" t="n">
        <v>180</v>
      </c>
      <c r="C67" s="0" t="n">
        <v>65</v>
      </c>
      <c r="D67" s="30" t="n">
        <v>171</v>
      </c>
      <c r="E67" s="1" t="n">
        <v>72</v>
      </c>
      <c r="G67" s="8" t="n">
        <f aca="false">G8</f>
        <v>2</v>
      </c>
      <c r="H67" s="11" t="n">
        <f aca="false">H8</f>
        <v>161.625</v>
      </c>
      <c r="I67" s="11" t="n">
        <f aca="false">I8</f>
        <v>165.25</v>
      </c>
      <c r="J67" s="32"/>
      <c r="K67" s="33" t="n">
        <f aca="false">COUNTIF($E$11:$E$32,"&lt;=54")</f>
        <v>2</v>
      </c>
      <c r="L67" s="34" t="n">
        <f aca="false">COUNTIF($E$11:$E$32,"&lt;=58")-K67</f>
        <v>3</v>
      </c>
      <c r="M67" s="30" t="n">
        <f aca="false">COUNTIF($E$11:$E$32,"&lt;=62")-L67-K67</f>
        <v>9</v>
      </c>
      <c r="N67" s="35" t="n">
        <f aca="false">COUNTIF($E$11:$E$32,"&lt;=67")-M67-L67-K67</f>
        <v>5</v>
      </c>
      <c r="O67" s="5" t="n">
        <f aca="false">COUNTIF($E$11:$E$32,"&lt;=71")-N67-M67-L67-K67</f>
        <v>2</v>
      </c>
      <c r="P67" s="6" t="n">
        <f aca="false">COUNTIF($E$11:$E$32,"&lt;=75")-O67-N67-M67-L67-K67</f>
        <v>1</v>
      </c>
      <c r="Q67" s="36" t="n">
        <f aca="false">COUNTIF($E$11:$E$32,"&lt;=79")-P67-O67-N67-M67-L67-K67</f>
        <v>0</v>
      </c>
      <c r="R67" s="37" t="n">
        <f aca="false">COUNTIF($E$11:$E$32,"&lt;=84")-Q67-P67-O67-N67-M67-L67-K67</f>
        <v>0</v>
      </c>
      <c r="S67" s="0" t="n">
        <f aca="false">SUM(K67:R67)</f>
        <v>22</v>
      </c>
      <c r="T67" s="18" t="n">
        <f aca="false">J49</f>
        <v>22</v>
      </c>
      <c r="U67" s="0" t="n">
        <f aca="false">G67</f>
        <v>2</v>
      </c>
    </row>
    <row r="68" customFormat="false" ht="12.75" hidden="false" customHeight="false" outlineLevel="0" collapsed="false">
      <c r="A68" s="0" t="n">
        <v>33</v>
      </c>
      <c r="B68" s="0" t="n">
        <v>168</v>
      </c>
      <c r="C68" s="0" t="n">
        <v>68</v>
      </c>
      <c r="D68" s="30" t="n">
        <v>171</v>
      </c>
      <c r="E68" s="1" t="n">
        <v>60</v>
      </c>
      <c r="G68" s="8" t="n">
        <f aca="false">G9</f>
        <v>3</v>
      </c>
      <c r="H68" s="11" t="n">
        <f aca="false">H9</f>
        <v>165.25</v>
      </c>
      <c r="I68" s="11" t="n">
        <f aca="false">I9</f>
        <v>168.875</v>
      </c>
      <c r="J68" s="32"/>
      <c r="K68" s="33" t="n">
        <f aca="false">COUNTIF($E$33:$E$52,"&lt;=54")</f>
        <v>3</v>
      </c>
      <c r="L68" s="34" t="n">
        <f aca="false">COUNTIF($E$33:$E$52,"&lt;=58")-K68</f>
        <v>5</v>
      </c>
      <c r="M68" s="30" t="n">
        <f aca="false">COUNTIF($E$33:$E$52,"&lt;=62")-L68-K68</f>
        <v>3</v>
      </c>
      <c r="N68" s="35" t="n">
        <f aca="false">COUNTIF($E$33:$E$52,"&lt;=67")-M68-L68-K68</f>
        <v>8</v>
      </c>
      <c r="O68" s="5" t="n">
        <f aca="false">COUNTIF($E$33:$E$52,"&lt;=71")-N68-M68-L68-K68</f>
        <v>1</v>
      </c>
      <c r="P68" s="6" t="n">
        <f aca="false">COUNTIF($E$33:$E$52,"&lt;=75")-O68-N68-M68-L68-K68</f>
        <v>0</v>
      </c>
      <c r="Q68" s="36" t="n">
        <f aca="false">COUNTIF($E$33:$E$52,"&lt;=79")-P68-O68-N68-M68-L68-K68</f>
        <v>0</v>
      </c>
      <c r="R68" s="37" t="n">
        <f aca="false">COUNTIF($E$33:$E$52,"&lt;=84")-Q68-P68-O68-N68-M68-L68-K68</f>
        <v>0</v>
      </c>
      <c r="S68" s="0" t="n">
        <f aca="false">SUM(K68:R68)</f>
        <v>20</v>
      </c>
      <c r="T68" s="18" t="n">
        <f aca="false">J50</f>
        <v>20</v>
      </c>
      <c r="U68" s="0" t="n">
        <f aca="false">G68</f>
        <v>3</v>
      </c>
    </row>
    <row r="69" customFormat="false" ht="12.75" hidden="false" customHeight="false" outlineLevel="0" collapsed="false">
      <c r="A69" s="0" t="n">
        <v>1</v>
      </c>
      <c r="B69" s="0" t="n">
        <v>172</v>
      </c>
      <c r="C69" s="0" t="n">
        <v>69</v>
      </c>
      <c r="D69" s="30" t="n">
        <v>171</v>
      </c>
      <c r="E69" s="1" t="n">
        <v>67</v>
      </c>
      <c r="G69" s="8" t="n">
        <f aca="false">G10</f>
        <v>4</v>
      </c>
      <c r="H69" s="11" t="n">
        <f aca="false">H10</f>
        <v>168.875</v>
      </c>
      <c r="I69" s="11" t="n">
        <f aca="false">I10</f>
        <v>172.5</v>
      </c>
      <c r="J69" s="32"/>
      <c r="K69" s="33" t="n">
        <f aca="false">COUNTIF($E$53:$E$76,"&lt;=54")</f>
        <v>0</v>
      </c>
      <c r="L69" s="34" t="n">
        <f aca="false">COUNTIF($E$53:$E$76,"&lt;=58")-K69</f>
        <v>1</v>
      </c>
      <c r="M69" s="30" t="n">
        <f aca="false">COUNTIF($E$53:$E$76,"&lt;=62")-L69-K69</f>
        <v>4</v>
      </c>
      <c r="N69" s="35" t="n">
        <f aca="false">COUNTIF($E$53:$E$76,"&lt;=67")-M69-L69-K69</f>
        <v>5</v>
      </c>
      <c r="O69" s="5" t="n">
        <f aca="false">COUNTIF($E$53:$E$76,"&lt;=71")-N69-M69-L69-K69</f>
        <v>6</v>
      </c>
      <c r="P69" s="6" t="n">
        <f aca="false">COUNTIF($E$53:$E$76,"&lt;=75")-O69-N69-M69-L69-K69</f>
        <v>7</v>
      </c>
      <c r="Q69" s="36" t="n">
        <f aca="false">COUNTIF($E$53:$E$76,"&lt;=79")-P69-O69-N69-M69-L69-K69</f>
        <v>1</v>
      </c>
      <c r="R69" s="37" t="n">
        <f aca="false">COUNTIF($E$53:$E$76,"&lt;=84")-Q69-P69-O69-N69-M69-L69-K69</f>
        <v>0</v>
      </c>
      <c r="S69" s="0" t="n">
        <f aca="false">SUM(K69:R69)</f>
        <v>24</v>
      </c>
      <c r="T69" s="18" t="n">
        <f aca="false">J51</f>
        <v>24</v>
      </c>
      <c r="U69" s="0" t="n">
        <f aca="false">G69</f>
        <v>4</v>
      </c>
    </row>
    <row r="70" customFormat="false" ht="12.75" hidden="false" customHeight="false" outlineLevel="0" collapsed="false">
      <c r="A70" s="0" t="n">
        <v>2</v>
      </c>
      <c r="B70" s="0" t="n">
        <v>173</v>
      </c>
      <c r="C70" s="0" t="n">
        <v>66</v>
      </c>
      <c r="D70" s="30" t="n">
        <v>172</v>
      </c>
      <c r="E70" s="1" t="n">
        <v>70</v>
      </c>
      <c r="G70" s="8" t="n">
        <f aca="false">G11</f>
        <v>5</v>
      </c>
      <c r="H70" s="11" t="n">
        <f aca="false">H11</f>
        <v>172.5</v>
      </c>
      <c r="I70" s="11" t="n">
        <f aca="false">I11</f>
        <v>176.125</v>
      </c>
      <c r="J70" s="32"/>
      <c r="K70" s="33" t="n">
        <f aca="false">COUNTIF($E$77:$E$92,"&lt;=54")</f>
        <v>0</v>
      </c>
      <c r="L70" s="34" t="n">
        <f aca="false">COUNTIF($E$77:$E$92,"&lt;=58")-K70</f>
        <v>0</v>
      </c>
      <c r="M70" s="30" t="n">
        <f aca="false">COUNTIF($E$77:$E$92,"&lt;=62")-L70-K70</f>
        <v>1</v>
      </c>
      <c r="N70" s="35" t="n">
        <f aca="false">COUNTIF($E$77:$E$92,"&lt;=67")-M70-L70-K70</f>
        <v>5</v>
      </c>
      <c r="O70" s="5" t="n">
        <f aca="false">COUNTIF($E$77:$E$92,"&lt;=71")-N70-M70-L70-K70</f>
        <v>5</v>
      </c>
      <c r="P70" s="6" t="n">
        <f aca="false">COUNTIF($E$77:$E$92,"&lt;=75")-O70-N70-M70-L70-K70</f>
        <v>4</v>
      </c>
      <c r="Q70" s="36" t="n">
        <f aca="false">COUNTIF($E$77:$E$92,"&lt;=79")-P70-O70-N70-M70-L70-K70</f>
        <v>1</v>
      </c>
      <c r="R70" s="37" t="n">
        <f aca="false">COUNTIF($E$77:$E$92,"&lt;=84")-Q70-P70-O70-N70-M70-L70-K70</f>
        <v>0</v>
      </c>
      <c r="S70" s="0" t="n">
        <f aca="false">SUM(K70:R70)</f>
        <v>16</v>
      </c>
      <c r="T70" s="18" t="n">
        <f aca="false">J52</f>
        <v>16</v>
      </c>
      <c r="U70" s="0" t="n">
        <f aca="false">G70</f>
        <v>5</v>
      </c>
    </row>
    <row r="71" customFormat="false" ht="12.75" hidden="false" customHeight="false" outlineLevel="0" collapsed="false">
      <c r="A71" s="0" t="n">
        <v>3</v>
      </c>
      <c r="B71" s="0" t="n">
        <v>169</v>
      </c>
      <c r="C71" s="0" t="n">
        <v>61</v>
      </c>
      <c r="D71" s="30" t="n">
        <v>172</v>
      </c>
      <c r="E71" s="1" t="n">
        <v>70</v>
      </c>
      <c r="G71" s="8" t="n">
        <f aca="false">G12</f>
        <v>6</v>
      </c>
      <c r="H71" s="11" t="n">
        <f aca="false">H12</f>
        <v>176.125</v>
      </c>
      <c r="I71" s="11" t="n">
        <f aca="false">I12</f>
        <v>179.75</v>
      </c>
      <c r="J71" s="32"/>
      <c r="K71" s="33" t="n">
        <f aca="false">COUNTIF($E$93:$E$97,"&lt;=54")</f>
        <v>0</v>
      </c>
      <c r="L71" s="34" t="n">
        <f aca="false">COUNTIF($E$93:$E$97,"&lt;=58")-K71</f>
        <v>0</v>
      </c>
      <c r="M71" s="30" t="n">
        <f aca="false">COUNTIF($E$93:$E$97,"&lt;=62")-L71-K71</f>
        <v>1</v>
      </c>
      <c r="N71" s="35" t="n">
        <f aca="false">COUNTIF($E$93:$E$97,"&lt;=67")-M71-L71-K71</f>
        <v>0</v>
      </c>
      <c r="O71" s="5" t="n">
        <f aca="false">COUNTIF($E$93:$E$97,"&lt;=71")-N71-M71-L71-K71</f>
        <v>2</v>
      </c>
      <c r="P71" s="6" t="n">
        <f aca="false">COUNTIF($E$93:$E$97,"&lt;=75")-O71-N71-M71-L71-K71</f>
        <v>0</v>
      </c>
      <c r="Q71" s="36" t="n">
        <f aca="false">COUNTIF($E$93:$E$97,"&lt;=79")-P71-O71-N71-M71-L71-K71</f>
        <v>1</v>
      </c>
      <c r="R71" s="37" t="n">
        <f aca="false">COUNTIF($E$93:$E$97,"&lt;=84")-Q71-P71-O71-N71-M71-L71-K71</f>
        <v>1</v>
      </c>
      <c r="S71" s="0" t="n">
        <f aca="false">SUM(K71:R71)</f>
        <v>5</v>
      </c>
      <c r="T71" s="18" t="n">
        <f aca="false">J53</f>
        <v>5</v>
      </c>
      <c r="U71" s="0" t="n">
        <f aca="false">G71</f>
        <v>6</v>
      </c>
    </row>
    <row r="72" customFormat="false" ht="12.75" hidden="false" customHeight="false" outlineLevel="0" collapsed="false">
      <c r="A72" s="0" t="n">
        <v>4</v>
      </c>
      <c r="B72" s="0" t="n">
        <v>165</v>
      </c>
      <c r="C72" s="0" t="n">
        <v>63</v>
      </c>
      <c r="D72" s="30" t="n">
        <v>172</v>
      </c>
      <c r="E72" s="1" t="n">
        <v>69</v>
      </c>
      <c r="G72" s="8" t="n">
        <f aca="false">G13</f>
        <v>7</v>
      </c>
      <c r="H72" s="11" t="n">
        <f aca="false">H13</f>
        <v>179.75</v>
      </c>
      <c r="I72" s="11" t="n">
        <f aca="false">I13</f>
        <v>183.375</v>
      </c>
      <c r="J72" s="32"/>
      <c r="K72" s="33" t="n">
        <f aca="false">COUNTIF($E$98:$E$100,"&lt;=54")</f>
        <v>0</v>
      </c>
      <c r="L72" s="34" t="n">
        <f aca="false">COUNTIF($E$98:$E$100,"&lt;=58")-K72</f>
        <v>0</v>
      </c>
      <c r="M72" s="30" t="n">
        <f aca="false">COUNTIF($E$98:$E$100,"&lt;=62")-L72-K72</f>
        <v>0</v>
      </c>
      <c r="N72" s="35" t="n">
        <f aca="false">COUNTIF($E$98:$E$100,"&lt;=67")-M72-L72-K72</f>
        <v>1</v>
      </c>
      <c r="O72" s="5" t="n">
        <f aca="false">COUNTIF($E$98:$E$100,"&lt;=71")-N72-M72-L72-K72</f>
        <v>2</v>
      </c>
      <c r="P72" s="6" t="n">
        <f aca="false">COUNTIF($E$98:$E$100,"&lt;=75")-O72-N72-M72-L72-K72</f>
        <v>0</v>
      </c>
      <c r="Q72" s="36" t="n">
        <f aca="false">COUNTIF($E$98:$E$100,"&lt;=79")-P72-O72-N72-M72-L72-K72</f>
        <v>0</v>
      </c>
      <c r="R72" s="37" t="n">
        <f aca="false">COUNTIF($E$98:$E$100,"&lt;=84")-Q72-P72-O72-N72-M72-L72-K72</f>
        <v>0</v>
      </c>
      <c r="S72" s="0" t="n">
        <f aca="false">SUM(K72:R72)</f>
        <v>3</v>
      </c>
      <c r="T72" s="18" t="n">
        <f aca="false">J54</f>
        <v>3</v>
      </c>
      <c r="U72" s="0" t="n">
        <f aca="false">G72</f>
        <v>7</v>
      </c>
    </row>
    <row r="73" customFormat="false" ht="12.75" hidden="false" customHeight="false" outlineLevel="0" collapsed="false">
      <c r="A73" s="0" t="n">
        <v>5</v>
      </c>
      <c r="B73" s="0" t="n">
        <v>169</v>
      </c>
      <c r="C73" s="0" t="n">
        <v>75</v>
      </c>
      <c r="D73" s="30" t="n">
        <v>172</v>
      </c>
      <c r="E73" s="1" t="n">
        <v>74</v>
      </c>
      <c r="G73" s="8" t="n">
        <f aca="false">G14</f>
        <v>8</v>
      </c>
      <c r="H73" s="11" t="n">
        <f aca="false">H14</f>
        <v>183.375</v>
      </c>
      <c r="I73" s="11" t="n">
        <f aca="false">I14</f>
        <v>187</v>
      </c>
      <c r="J73" s="32"/>
      <c r="K73" s="33" t="n">
        <v>0</v>
      </c>
      <c r="L73" s="34" t="n">
        <v>0</v>
      </c>
      <c r="M73" s="30" t="n">
        <v>0</v>
      </c>
      <c r="N73" s="35" t="n">
        <v>0</v>
      </c>
      <c r="O73" s="5" t="n">
        <v>0</v>
      </c>
      <c r="P73" s="6" t="n">
        <v>0</v>
      </c>
      <c r="Q73" s="36" t="n">
        <v>0</v>
      </c>
      <c r="R73" s="37" t="n">
        <f aca="false">COUNTIF(E101,"&lt;=84")-Q73-P73-O73-N73-M73-L73-K73</f>
        <v>1</v>
      </c>
      <c r="S73" s="0" t="n">
        <f aca="false">SUM(K73:R73)</f>
        <v>1</v>
      </c>
      <c r="T73" s="18" t="n">
        <f aca="false">J55</f>
        <v>1</v>
      </c>
      <c r="U73" s="0" t="n">
        <f aca="false">G73</f>
        <v>8</v>
      </c>
    </row>
    <row r="74" customFormat="false" ht="12.75" hidden="false" customHeight="false" outlineLevel="0" collapsed="false">
      <c r="A74" s="0" t="n">
        <v>6</v>
      </c>
      <c r="B74" s="0" t="n">
        <v>163</v>
      </c>
      <c r="C74" s="0" t="n">
        <v>63</v>
      </c>
      <c r="D74" s="30" t="n">
        <v>172</v>
      </c>
      <c r="E74" s="1" t="n">
        <v>69</v>
      </c>
      <c r="K74" s="0" t="n">
        <f aca="false">SUM(K66:K73)</f>
        <v>8</v>
      </c>
      <c r="L74" s="0" t="n">
        <f aca="false">SUM(L66:L73)</f>
        <v>11</v>
      </c>
      <c r="M74" s="0" t="n">
        <f aca="false">SUM(M66:M73)</f>
        <v>20</v>
      </c>
      <c r="N74" s="0" t="n">
        <f aca="false">SUM(N66:N73)</f>
        <v>25</v>
      </c>
      <c r="O74" s="0" t="n">
        <f aca="false">SUM(O66:O73)</f>
        <v>19</v>
      </c>
      <c r="P74" s="0" t="n">
        <f aca="false">SUM(P66:P73)</f>
        <v>12</v>
      </c>
      <c r="Q74" s="0" t="n">
        <f aca="false">SUM(Q66:Q73)</f>
        <v>3</v>
      </c>
      <c r="R74" s="0" t="n">
        <f aca="false">SUM(R66:R73)</f>
        <v>2</v>
      </c>
      <c r="S74" s="0" t="n">
        <f aca="false">SUM(K71:R71)</f>
        <v>5</v>
      </c>
      <c r="T74" s="0" t="n">
        <f aca="false">SUM(T66:T73)</f>
        <v>100</v>
      </c>
    </row>
    <row r="75" customFormat="false" ht="12.75" hidden="false" customHeight="false" outlineLevel="0" collapsed="false">
      <c r="A75" s="0" t="n">
        <v>7</v>
      </c>
      <c r="B75" s="0" t="n">
        <v>175</v>
      </c>
      <c r="C75" s="0" t="n">
        <v>67</v>
      </c>
      <c r="D75" s="30" t="n">
        <v>172</v>
      </c>
      <c r="E75" s="1" t="n">
        <v>73</v>
      </c>
      <c r="K75" s="38" t="n">
        <f aca="false">COUNTIF($C$2:$C$101,"&lt;=54,36")</f>
        <v>8</v>
      </c>
      <c r="L75" s="38" t="n">
        <f aca="false">COUNTIF($C$2:$C$101,"&lt;=58,5")-COUNTIF($C$2:$C$101,"&lt;=54,25")</f>
        <v>11</v>
      </c>
      <c r="M75" s="38" t="n">
        <f aca="false">COUNTIF($C$2:$C$101,"&lt;=62,75")-COUNTIF($C$2:$C$101,"&lt;=58,5")</f>
        <v>20</v>
      </c>
      <c r="N75" s="38" t="n">
        <f aca="false">COUNTIF($C$2:$C$101,"&lt;=67")-COUNTIF($C$2:$C$101,"&lt;=62,75")</f>
        <v>25</v>
      </c>
      <c r="O75" s="38" t="n">
        <f aca="false">COUNTIF($C$2:$C$101,"&lt;=71,25")-COUNTIF($C$2:$C$101,"&lt;=67")</f>
        <v>19</v>
      </c>
      <c r="P75" s="38" t="n">
        <f aca="false">COUNTIF($C$2:$C$101,"&lt;=75,5")-COUNTIF($C$2:$C$101,"&lt;=71,25")</f>
        <v>12</v>
      </c>
      <c r="Q75" s="38" t="n">
        <f aca="false">COUNTIF($C$2:$C$101,"&lt;=79,75")-COUNTIF($C$2:$C$101,"&lt;=75,5")</f>
        <v>3</v>
      </c>
      <c r="R75" s="38" t="n">
        <f aca="false">COUNTIF($C$2:$C$101,"&lt;=84")-COUNTIF($C$2:$C$101,"&lt;=79,75")</f>
        <v>2</v>
      </c>
      <c r="S75" s="0" t="n">
        <f aca="false">SUM(K72:R72)</f>
        <v>3</v>
      </c>
    </row>
    <row r="76" customFormat="false" ht="12.75" hidden="false" customHeight="false" outlineLevel="0" collapsed="false">
      <c r="A76" s="0" t="n">
        <v>8</v>
      </c>
      <c r="B76" s="0" t="n">
        <v>171</v>
      </c>
      <c r="C76" s="0" t="n">
        <v>60</v>
      </c>
      <c r="D76" s="30" t="n">
        <v>172</v>
      </c>
      <c r="E76" s="1" t="n">
        <v>69</v>
      </c>
      <c r="S76" s="0" t="n">
        <f aca="false">SUM(K73:R73)</f>
        <v>1</v>
      </c>
    </row>
    <row r="77" customFormat="false" ht="12.75" hidden="false" customHeight="false" outlineLevel="0" collapsed="false">
      <c r="A77" s="0" t="n">
        <v>9</v>
      </c>
      <c r="B77" s="0" t="n">
        <v>167</v>
      </c>
      <c r="C77" s="0" t="n">
        <v>53</v>
      </c>
      <c r="D77" s="33" t="n">
        <v>173</v>
      </c>
      <c r="E77" s="1" t="n">
        <v>70</v>
      </c>
      <c r="F77" s="0" t="s">
        <v>82</v>
      </c>
      <c r="J77" s="39"/>
      <c r="K77" s="40" t="n">
        <f aca="false">(J65+K65)/2</f>
        <v>52.125</v>
      </c>
      <c r="L77" s="40" t="n">
        <f aca="false">(K65+L65)/2</f>
        <v>56.375</v>
      </c>
      <c r="M77" s="40" t="n">
        <f aca="false">(L65+M65)/2</f>
        <v>60.625</v>
      </c>
      <c r="N77" s="40" t="n">
        <f aca="false">(M65+N65)/2</f>
        <v>64.875</v>
      </c>
      <c r="O77" s="40" t="n">
        <f aca="false">(N65+O65)/2</f>
        <v>69.125</v>
      </c>
      <c r="P77" s="40" t="n">
        <f aca="false">(O65+P65)/2</f>
        <v>73.375</v>
      </c>
      <c r="Q77" s="40" t="n">
        <f aca="false">(P65+Q65)/2</f>
        <v>77.625</v>
      </c>
      <c r="R77" s="40" t="n">
        <f aca="false">(Q65+R65)/2</f>
        <v>81.875</v>
      </c>
      <c r="T77" s="0" t="n">
        <f aca="false">SUM(K74:R74)</f>
        <v>100</v>
      </c>
    </row>
    <row r="78" customFormat="false" ht="12.75" hidden="false" customHeight="false" outlineLevel="0" collapsed="false">
      <c r="A78" s="0" t="n">
        <v>10</v>
      </c>
      <c r="B78" s="0" t="n">
        <v>164</v>
      </c>
      <c r="C78" s="0" t="n">
        <v>57</v>
      </c>
      <c r="D78" s="33" t="n">
        <v>173</v>
      </c>
      <c r="E78" s="1" t="n">
        <v>75</v>
      </c>
      <c r="I78" s="0" t="n">
        <v>1</v>
      </c>
      <c r="J78" s="41" t="n">
        <f aca="false">(H66+I66)/2</f>
        <v>159.8125</v>
      </c>
      <c r="K78" s="0" t="n">
        <f aca="false">K66/$T$78</f>
        <v>0.03</v>
      </c>
      <c r="L78" s="0" t="n">
        <f aca="false">L66/$T$78</f>
        <v>0.02</v>
      </c>
      <c r="M78" s="0" t="n">
        <f aca="false">M66/$T$78</f>
        <v>0.02</v>
      </c>
      <c r="N78" s="0" t="n">
        <f aca="false">N66/$T$78</f>
        <v>0.01</v>
      </c>
      <c r="O78" s="0" t="n">
        <f aca="false">O66/$T$78</f>
        <v>0.01</v>
      </c>
      <c r="P78" s="0" t="n">
        <f aca="false">P66/$T$78</f>
        <v>0</v>
      </c>
      <c r="Q78" s="0" t="n">
        <f aca="false">Q66/$T$78</f>
        <v>0</v>
      </c>
      <c r="R78" s="0" t="n">
        <f aca="false">R66/$T$78</f>
        <v>0</v>
      </c>
      <c r="S78" s="1" t="n">
        <f aca="false">SUM(K78:R78)</f>
        <v>0.09</v>
      </c>
      <c r="T78" s="0" t="n">
        <f aca="false">SUM(K75:R75)</f>
        <v>100</v>
      </c>
    </row>
    <row r="79" customFormat="false" ht="12.75" hidden="false" customHeight="false" outlineLevel="0" collapsed="false">
      <c r="A79" s="0" t="n">
        <v>11</v>
      </c>
      <c r="B79" s="0" t="n">
        <v>158</v>
      </c>
      <c r="C79" s="0" t="n">
        <v>60</v>
      </c>
      <c r="D79" s="33" t="n">
        <v>173</v>
      </c>
      <c r="E79" s="1" t="n">
        <v>69</v>
      </c>
      <c r="I79" s="0" t="n">
        <v>2</v>
      </c>
      <c r="J79" s="41" t="n">
        <f aca="false">(H67+I67)/2</f>
        <v>163.4375</v>
      </c>
      <c r="K79" s="0" t="n">
        <f aca="false">K67/$T$78</f>
        <v>0.02</v>
      </c>
      <c r="L79" s="0" t="n">
        <f aca="false">L67/$T$78</f>
        <v>0.03</v>
      </c>
      <c r="M79" s="0" t="n">
        <f aca="false">M67/$T$78</f>
        <v>0.09</v>
      </c>
      <c r="N79" s="0" t="n">
        <f aca="false">N67/$T$78</f>
        <v>0.05</v>
      </c>
      <c r="O79" s="0" t="n">
        <f aca="false">O67/$T$78</f>
        <v>0.02</v>
      </c>
      <c r="P79" s="0" t="n">
        <f aca="false">P67/$T$78</f>
        <v>0.01</v>
      </c>
      <c r="Q79" s="0" t="n">
        <f aca="false">Q67/$T$78</f>
        <v>0</v>
      </c>
      <c r="R79" s="0" t="n">
        <f aca="false">R67/$T$78</f>
        <v>0</v>
      </c>
      <c r="S79" s="1" t="n">
        <f aca="false">SUM(K79:R79)</f>
        <v>0.22</v>
      </c>
    </row>
    <row r="80" customFormat="false" ht="12.75" hidden="false" customHeight="false" outlineLevel="0" collapsed="false">
      <c r="A80" s="0" t="n">
        <v>12</v>
      </c>
      <c r="B80" s="0" t="n">
        <v>174</v>
      </c>
      <c r="C80" s="0" t="n">
        <v>66</v>
      </c>
      <c r="D80" s="33" t="n">
        <v>173</v>
      </c>
      <c r="E80" s="1" t="n">
        <v>74</v>
      </c>
      <c r="I80" s="0" t="n">
        <v>3</v>
      </c>
      <c r="J80" s="41" t="n">
        <f aca="false">(H68+I68)/2</f>
        <v>167.0625</v>
      </c>
      <c r="K80" s="0" t="n">
        <f aca="false">K68/$T$78</f>
        <v>0.03</v>
      </c>
      <c r="L80" s="0" t="n">
        <f aca="false">L68/$T$78</f>
        <v>0.05</v>
      </c>
      <c r="M80" s="0" t="n">
        <f aca="false">M68/$T$78</f>
        <v>0.03</v>
      </c>
      <c r="N80" s="0" t="n">
        <f aca="false">N68/$T$78</f>
        <v>0.08</v>
      </c>
      <c r="O80" s="0" t="n">
        <f aca="false">O68/$T$78</f>
        <v>0.01</v>
      </c>
      <c r="P80" s="0" t="n">
        <f aca="false">P68/$T$78</f>
        <v>0</v>
      </c>
      <c r="Q80" s="0" t="n">
        <f aca="false">Q68/$T$78</f>
        <v>0</v>
      </c>
      <c r="R80" s="0" t="n">
        <f aca="false">R68/$T$78</f>
        <v>0</v>
      </c>
      <c r="S80" s="1" t="n">
        <f aca="false">SUM(K80:R80)</f>
        <v>0.2</v>
      </c>
    </row>
    <row r="81" customFormat="false" ht="12.75" hidden="false" customHeight="false" outlineLevel="0" collapsed="false">
      <c r="A81" s="0" t="n">
        <v>13</v>
      </c>
      <c r="B81" s="0" t="n">
        <v>171</v>
      </c>
      <c r="C81" s="0" t="n">
        <v>72</v>
      </c>
      <c r="D81" s="33" t="n">
        <v>173</v>
      </c>
      <c r="E81" s="1" t="n">
        <v>72</v>
      </c>
      <c r="I81" s="0" t="n">
        <v>4</v>
      </c>
      <c r="J81" s="41" t="n">
        <f aca="false">(H69+I69)/2</f>
        <v>170.6875</v>
      </c>
      <c r="K81" s="0" t="n">
        <f aca="false">K69/$T$78</f>
        <v>0</v>
      </c>
      <c r="L81" s="0" t="n">
        <f aca="false">L69/$T$78</f>
        <v>0.01</v>
      </c>
      <c r="M81" s="0" t="n">
        <f aca="false">M69/$T$78</f>
        <v>0.04</v>
      </c>
      <c r="N81" s="0" t="n">
        <f aca="false">N69/$T$78</f>
        <v>0.05</v>
      </c>
      <c r="O81" s="0" t="n">
        <f aca="false">O69/$T$78</f>
        <v>0.06</v>
      </c>
      <c r="P81" s="0" t="n">
        <f aca="false">P69/$T$78</f>
        <v>0.07</v>
      </c>
      <c r="Q81" s="0" t="n">
        <f aca="false">Q69/$T$78</f>
        <v>0.01</v>
      </c>
      <c r="R81" s="0" t="n">
        <f aca="false">R69/$T$78</f>
        <v>0</v>
      </c>
      <c r="S81" s="1" t="n">
        <f aca="false">SUM(K81:R81)</f>
        <v>0.24</v>
      </c>
    </row>
    <row r="82" customFormat="false" ht="12.75" hidden="false" customHeight="false" outlineLevel="0" collapsed="false">
      <c r="A82" s="0" t="n">
        <v>14</v>
      </c>
      <c r="B82" s="0" t="n">
        <v>179</v>
      </c>
      <c r="C82" s="0" t="n">
        <v>71</v>
      </c>
      <c r="D82" s="33" t="n">
        <v>173</v>
      </c>
      <c r="E82" s="1" t="n">
        <v>69</v>
      </c>
      <c r="I82" s="0" t="n">
        <v>5</v>
      </c>
      <c r="J82" s="41" t="n">
        <f aca="false">(H70+I70)/2</f>
        <v>174.3125</v>
      </c>
      <c r="K82" s="0" t="n">
        <f aca="false">K70/$T$78</f>
        <v>0</v>
      </c>
      <c r="L82" s="0" t="n">
        <f aca="false">L70/$T$78</f>
        <v>0</v>
      </c>
      <c r="M82" s="0" t="n">
        <f aca="false">M70/$T$78</f>
        <v>0.01</v>
      </c>
      <c r="N82" s="0" t="n">
        <f aca="false">N70/$T$78</f>
        <v>0.05</v>
      </c>
      <c r="O82" s="0" t="n">
        <f aca="false">O70/$T$78</f>
        <v>0.05</v>
      </c>
      <c r="P82" s="0" t="n">
        <f aca="false">P70/$T$78</f>
        <v>0.04</v>
      </c>
      <c r="Q82" s="0" t="n">
        <f aca="false">Q70/$T$78</f>
        <v>0.01</v>
      </c>
      <c r="R82" s="0" t="n">
        <f aca="false">R70/$T$78</f>
        <v>0</v>
      </c>
      <c r="S82" s="1" t="n">
        <f aca="false">SUM(K82:R82)</f>
        <v>0.16</v>
      </c>
    </row>
    <row r="83" customFormat="false" ht="12.75" hidden="false" customHeight="false" outlineLevel="0" collapsed="false">
      <c r="A83" s="0" t="n">
        <v>15</v>
      </c>
      <c r="B83" s="0" t="n">
        <v>167</v>
      </c>
      <c r="C83" s="0" t="n">
        <v>63</v>
      </c>
      <c r="D83" s="33" t="n">
        <v>173</v>
      </c>
      <c r="E83" s="1" t="n">
        <v>77</v>
      </c>
      <c r="I83" s="0" t="n">
        <v>6</v>
      </c>
      <c r="J83" s="41" t="n">
        <f aca="false">(H71+I71)/2</f>
        <v>177.9375</v>
      </c>
      <c r="K83" s="0" t="n">
        <f aca="false">K71/$T$78</f>
        <v>0</v>
      </c>
      <c r="L83" s="0" t="n">
        <f aca="false">L71/$T$78</f>
        <v>0</v>
      </c>
      <c r="M83" s="0" t="n">
        <f aca="false">M71/$T$78</f>
        <v>0.01</v>
      </c>
      <c r="N83" s="0" t="n">
        <f aca="false">N71/$T$78</f>
        <v>0</v>
      </c>
      <c r="O83" s="0" t="n">
        <f aca="false">O71/$T$78</f>
        <v>0.02</v>
      </c>
      <c r="P83" s="0" t="n">
        <f aca="false">P71/$T$78</f>
        <v>0</v>
      </c>
      <c r="Q83" s="0" t="n">
        <f aca="false">Q71/$T$78</f>
        <v>0.01</v>
      </c>
      <c r="R83" s="0" t="n">
        <f aca="false">R71/$T$78</f>
        <v>0.01</v>
      </c>
      <c r="S83" s="1" t="n">
        <f aca="false">SUM(K83:R83)</f>
        <v>0.05</v>
      </c>
    </row>
    <row r="84" customFormat="false" ht="12.75" hidden="false" customHeight="false" outlineLevel="0" collapsed="false">
      <c r="A84" s="0" t="n">
        <v>16</v>
      </c>
      <c r="B84" s="0" t="n">
        <v>173</v>
      </c>
      <c r="C84" s="0" t="n">
        <v>69</v>
      </c>
      <c r="D84" s="33" t="n">
        <v>173</v>
      </c>
      <c r="E84" s="1" t="n">
        <v>66</v>
      </c>
      <c r="I84" s="0" t="n">
        <v>7</v>
      </c>
      <c r="J84" s="41" t="n">
        <f aca="false">(H72+I72)/2</f>
        <v>181.5625</v>
      </c>
      <c r="K84" s="0" t="n">
        <f aca="false">K72/$T$78</f>
        <v>0</v>
      </c>
      <c r="L84" s="0" t="n">
        <f aca="false">L72/$T$78</f>
        <v>0</v>
      </c>
      <c r="M84" s="0" t="n">
        <f aca="false">M72/$T$78</f>
        <v>0</v>
      </c>
      <c r="N84" s="0" t="n">
        <f aca="false">N72/$T$78</f>
        <v>0.01</v>
      </c>
      <c r="O84" s="0" t="n">
        <f aca="false">O72/$T$78</f>
        <v>0.02</v>
      </c>
      <c r="P84" s="0" t="n">
        <f aca="false">P72/$T$78</f>
        <v>0</v>
      </c>
      <c r="Q84" s="0" t="n">
        <f aca="false">Q72/$T$78</f>
        <v>0</v>
      </c>
      <c r="R84" s="0" t="n">
        <f aca="false">R72/$T$78</f>
        <v>0</v>
      </c>
      <c r="S84" s="1" t="n">
        <f aca="false">SUM(K84:R84)</f>
        <v>0.03</v>
      </c>
    </row>
    <row r="85" customFormat="false" ht="12.75" hidden="false" customHeight="false" outlineLevel="0" collapsed="false">
      <c r="A85" s="0" t="n">
        <v>17</v>
      </c>
      <c r="B85" s="0" t="n">
        <v>167</v>
      </c>
      <c r="C85" s="0" t="n">
        <v>58</v>
      </c>
      <c r="D85" s="33" t="n">
        <v>173</v>
      </c>
      <c r="E85" s="1" t="n">
        <v>69</v>
      </c>
      <c r="I85" s="0" t="n">
        <v>8</v>
      </c>
      <c r="J85" s="41" t="n">
        <f aca="false">(H73+I73)/2</f>
        <v>185.1875</v>
      </c>
      <c r="K85" s="0" t="n">
        <f aca="false">K73/$T$78</f>
        <v>0</v>
      </c>
      <c r="L85" s="0" t="n">
        <f aca="false">L73/$T$78</f>
        <v>0</v>
      </c>
      <c r="M85" s="0" t="n">
        <f aca="false">M73/$T$78</f>
        <v>0</v>
      </c>
      <c r="N85" s="0" t="n">
        <f aca="false">N73/$T$78</f>
        <v>0</v>
      </c>
      <c r="O85" s="0" t="n">
        <f aca="false">O73/$T$78</f>
        <v>0</v>
      </c>
      <c r="P85" s="0" t="n">
        <f aca="false">P73/$T$78</f>
        <v>0</v>
      </c>
      <c r="Q85" s="0" t="n">
        <f aca="false">Q73/$T$78</f>
        <v>0</v>
      </c>
      <c r="R85" s="0" t="n">
        <f aca="false">R73/$T$78</f>
        <v>0.01</v>
      </c>
      <c r="S85" s="1" t="n">
        <f aca="false">SUM(K85:R85)</f>
        <v>0.01</v>
      </c>
    </row>
    <row r="86" customFormat="false" ht="12.75" hidden="false" customHeight="false" outlineLevel="0" collapsed="false">
      <c r="A86" s="0" t="n">
        <v>18</v>
      </c>
      <c r="B86" s="0" t="n">
        <v>161</v>
      </c>
      <c r="C86" s="0" t="n">
        <v>52</v>
      </c>
      <c r="D86" s="33" t="n">
        <v>174</v>
      </c>
      <c r="E86" s="1" t="n">
        <v>67</v>
      </c>
      <c r="F86" s="0" t="s">
        <v>83</v>
      </c>
      <c r="J86" s="42"/>
      <c r="K86" s="43" t="n">
        <f aca="false">SUM(K78:K85)</f>
        <v>0.08</v>
      </c>
      <c r="L86" s="44" t="n">
        <f aca="false">SUM(L78:L85)</f>
        <v>0.11</v>
      </c>
      <c r="M86" s="44" t="n">
        <f aca="false">SUM(M78:M85)</f>
        <v>0.2</v>
      </c>
      <c r="N86" s="44" t="n">
        <f aca="false">SUM(N78:N85)</f>
        <v>0.25</v>
      </c>
      <c r="O86" s="44" t="n">
        <f aca="false">SUM(O78:O85)</f>
        <v>0.19</v>
      </c>
      <c r="P86" s="44" t="n">
        <f aca="false">SUM(P78:P85)</f>
        <v>0.12</v>
      </c>
      <c r="Q86" s="44" t="n">
        <f aca="false">SUM(Q78:Q85)</f>
        <v>0.03</v>
      </c>
      <c r="R86" s="44" t="n">
        <f aca="false">SUM(R78:R85)</f>
        <v>0.02</v>
      </c>
    </row>
    <row r="87" customFormat="false" ht="12.75" hidden="false" customHeight="false" outlineLevel="0" collapsed="false">
      <c r="A87" s="0" t="n">
        <v>19</v>
      </c>
      <c r="B87" s="0" t="n">
        <v>171</v>
      </c>
      <c r="C87" s="0" t="n">
        <v>60</v>
      </c>
      <c r="D87" s="33" t="n">
        <v>174</v>
      </c>
      <c r="E87" s="1" t="n">
        <v>74</v>
      </c>
    </row>
    <row r="88" customFormat="false" ht="12.75" hidden="false" customHeight="false" outlineLevel="0" collapsed="false">
      <c r="A88" s="0" t="n">
        <v>20</v>
      </c>
      <c r="B88" s="0" t="n">
        <v>172</v>
      </c>
      <c r="C88" s="0" t="n">
        <v>74</v>
      </c>
      <c r="D88" s="33" t="n">
        <v>174</v>
      </c>
      <c r="E88" s="1" t="n">
        <v>66</v>
      </c>
      <c r="J88" s="0" t="n">
        <v>1</v>
      </c>
      <c r="K88" s="4" t="n">
        <f aca="false">$J$78*K77*K78</f>
        <v>249.906796875</v>
      </c>
      <c r="L88" s="4" t="n">
        <f aca="false">$J$78*L77*L78</f>
        <v>180.18859375</v>
      </c>
      <c r="M88" s="4" t="n">
        <f aca="false">$J$78*M77*M78</f>
        <v>193.77265625</v>
      </c>
      <c r="N88" s="4" t="n">
        <f aca="false">$J$78*N77*N78</f>
        <v>103.678359375</v>
      </c>
      <c r="O88" s="4" t="n">
        <f aca="false">$J$78*O77*O78</f>
        <v>110.470390625</v>
      </c>
      <c r="P88" s="4" t="n">
        <f aca="false">$J$78*P77*P78</f>
        <v>0</v>
      </c>
      <c r="Q88" s="4" t="n">
        <f aca="false">$J$78*Q77*Q78</f>
        <v>0</v>
      </c>
      <c r="R88" s="4" t="n">
        <f aca="false">$J$78*R77*R78</f>
        <v>0</v>
      </c>
      <c r="S88" s="11" t="n">
        <f aca="false">SUM(K88:R88)</f>
        <v>838.016796875</v>
      </c>
    </row>
    <row r="89" customFormat="false" ht="12.75" hidden="false" customHeight="false" outlineLevel="0" collapsed="false">
      <c r="A89" s="0" t="n">
        <v>21</v>
      </c>
      <c r="B89" s="0" t="n">
        <v>160</v>
      </c>
      <c r="C89" s="0" t="n">
        <v>50</v>
      </c>
      <c r="D89" s="33" t="n">
        <v>175</v>
      </c>
      <c r="E89" s="1" t="n">
        <v>59</v>
      </c>
      <c r="J89" s="0" t="n">
        <v>2</v>
      </c>
      <c r="K89" s="4" t="n">
        <f aca="false">$J$79*K77*K79</f>
        <v>170.38359375</v>
      </c>
      <c r="L89" s="4" t="n">
        <f aca="false">$J$79*L77*L79</f>
        <v>276.413671875</v>
      </c>
      <c r="M89" s="4" t="n">
        <f aca="false">$J$79*M77*M79</f>
        <v>891.755859375</v>
      </c>
      <c r="N89" s="4" t="n">
        <f aca="false">$J$79*N77*N79</f>
        <v>530.150390625</v>
      </c>
      <c r="O89" s="4" t="n">
        <f aca="false">$J$79*O77*O79</f>
        <v>225.95234375</v>
      </c>
      <c r="P89" s="4" t="n">
        <f aca="false">$J$79*P77*P79</f>
        <v>119.922265625</v>
      </c>
      <c r="Q89" s="4" t="n">
        <f aca="false">$J$79*Q77*Q79</f>
        <v>0</v>
      </c>
      <c r="R89" s="4" t="n">
        <f aca="false">$J$79*R77*R79</f>
        <v>0</v>
      </c>
      <c r="S89" s="11" t="n">
        <f aca="false">SUM(K89:R89)</f>
        <v>2214.578125</v>
      </c>
    </row>
    <row r="90" customFormat="false" ht="12.75" hidden="false" customHeight="false" outlineLevel="0" collapsed="false">
      <c r="A90" s="0" t="n">
        <v>22</v>
      </c>
      <c r="B90" s="0" t="n">
        <v>159</v>
      </c>
      <c r="C90" s="0" t="n">
        <v>68</v>
      </c>
      <c r="D90" s="33" t="n">
        <v>175</v>
      </c>
      <c r="E90" s="1" t="n">
        <v>67</v>
      </c>
      <c r="J90" s="0" t="n">
        <v>3</v>
      </c>
      <c r="K90" s="4" t="n">
        <f aca="false">$J$80*K80*K77</f>
        <v>261.243984375</v>
      </c>
      <c r="L90" s="4" t="n">
        <f aca="false">$J$80*L80*L77</f>
        <v>470.907421875</v>
      </c>
      <c r="M90" s="4" t="n">
        <f aca="false">$J$80*M80*M77</f>
        <v>303.844921875</v>
      </c>
      <c r="N90" s="4" t="n">
        <f aca="false">$J$80*N80*N77</f>
        <v>867.054375</v>
      </c>
      <c r="O90" s="4" t="n">
        <f aca="false">$J$80*O80*O77</f>
        <v>115.481953125</v>
      </c>
      <c r="P90" s="4" t="n">
        <f aca="false">$J$80*P80*P77</f>
        <v>0</v>
      </c>
      <c r="Q90" s="4" t="n">
        <f aca="false">$J$80*Q80*Q77</f>
        <v>0</v>
      </c>
      <c r="R90" s="4" t="n">
        <f aca="false">$J$80*R80*R77</f>
        <v>0</v>
      </c>
      <c r="S90" s="11" t="n">
        <f aca="false">SUM(K90:R90)</f>
        <v>2018.53265625</v>
      </c>
    </row>
    <row r="91" customFormat="false" ht="12.75" hidden="false" customHeight="false" outlineLevel="0" collapsed="false">
      <c r="A91" s="0" t="n">
        <v>23</v>
      </c>
      <c r="B91" s="0" t="n">
        <v>163</v>
      </c>
      <c r="C91" s="0" t="n">
        <v>72</v>
      </c>
      <c r="D91" s="33" t="n">
        <v>176</v>
      </c>
      <c r="E91" s="1" t="n">
        <v>70</v>
      </c>
      <c r="J91" s="0" t="n">
        <v>4</v>
      </c>
      <c r="K91" s="4" t="n">
        <f aca="false">$J$81*K81*K77</f>
        <v>0</v>
      </c>
      <c r="L91" s="4" t="n">
        <f aca="false">$J$81*L81*L77</f>
        <v>96.225078125</v>
      </c>
      <c r="M91" s="4" t="n">
        <f aca="false">$J$81*M81*M77</f>
        <v>413.9171875</v>
      </c>
      <c r="N91" s="4" t="n">
        <f aca="false">$J$81*N81*N77</f>
        <v>553.667578125</v>
      </c>
      <c r="O91" s="4" t="n">
        <f aca="false">$J$81*O81*O77</f>
        <v>707.92640625</v>
      </c>
      <c r="P91" s="4" t="n">
        <f aca="false">$J$81*P81*P77</f>
        <v>876.693671875</v>
      </c>
      <c r="Q91" s="4" t="n">
        <f aca="false">$J$81*Q81*Q77</f>
        <v>132.496171875</v>
      </c>
      <c r="R91" s="4" t="n">
        <f aca="false">$J$81*R81*R77</f>
        <v>0</v>
      </c>
      <c r="S91" s="11" t="n">
        <f aca="false">SUM(K91:R91)</f>
        <v>2780.92609375</v>
      </c>
    </row>
    <row r="92" customFormat="false" ht="12.75" hidden="false" customHeight="false" outlineLevel="0" collapsed="false">
      <c r="A92" s="0" t="n">
        <v>24</v>
      </c>
      <c r="B92" s="0" t="n">
        <v>167</v>
      </c>
      <c r="C92" s="0" t="n">
        <v>63</v>
      </c>
      <c r="D92" s="33" t="n">
        <v>176</v>
      </c>
      <c r="E92" s="1" t="n">
        <v>65</v>
      </c>
      <c r="J92" s="0" t="n">
        <v>5</v>
      </c>
      <c r="K92" s="4" t="n">
        <f aca="false">$J$82*K82*K77</f>
        <v>0</v>
      </c>
      <c r="L92" s="4" t="n">
        <f aca="false">$J$82*L82*L77</f>
        <v>0</v>
      </c>
      <c r="M92" s="4" t="n">
        <f aca="false">$J$82*M82*M77</f>
        <v>105.676953125</v>
      </c>
      <c r="N92" s="4" t="n">
        <f aca="false">$J$82*N82*N77</f>
        <v>565.426171875</v>
      </c>
      <c r="O92" s="4" t="n">
        <f aca="false">$J$82*O82*O77</f>
        <v>602.467578125</v>
      </c>
      <c r="P92" s="4" t="n">
        <f aca="false">$J$82*P82*P77</f>
        <v>511.6071875</v>
      </c>
      <c r="Q92" s="4" t="n">
        <f aca="false">$J$82*Q82*Q77</f>
        <v>135.310078125</v>
      </c>
      <c r="R92" s="4" t="n">
        <f aca="false">$J$82*R82*R77</f>
        <v>0</v>
      </c>
      <c r="S92" s="11" t="n">
        <f aca="false">SUM(K92:R92)</f>
        <v>1920.48796875</v>
      </c>
    </row>
    <row r="93" customFormat="false" ht="12.75" hidden="false" customHeight="false" outlineLevel="0" collapsed="false">
      <c r="A93" s="0" t="n">
        <v>25</v>
      </c>
      <c r="B93" s="0" t="n">
        <v>172</v>
      </c>
      <c r="C93" s="0" t="n">
        <v>69</v>
      </c>
      <c r="D93" s="6" t="n">
        <v>178</v>
      </c>
      <c r="E93" s="1" t="n">
        <v>62</v>
      </c>
      <c r="F93" s="0" t="s">
        <v>84</v>
      </c>
      <c r="J93" s="0" t="n">
        <v>6</v>
      </c>
      <c r="K93" s="4" t="n">
        <f aca="false">$J$83*K83*K77</f>
        <v>0</v>
      </c>
      <c r="L93" s="4" t="n">
        <f aca="false">$J$83*L83*L77</f>
        <v>0</v>
      </c>
      <c r="M93" s="4" t="n">
        <f aca="false">$J$83*M83*M77</f>
        <v>107.874609375</v>
      </c>
      <c r="N93" s="4" t="n">
        <f aca="false">$J$83*N83*N77</f>
        <v>0</v>
      </c>
      <c r="O93" s="4" t="n">
        <f aca="false">$J$83*O83*O77</f>
        <v>245.99859375</v>
      </c>
      <c r="P93" s="4" t="n">
        <f aca="false">$J$83*P83*P77</f>
        <v>0</v>
      </c>
      <c r="Q93" s="4" t="n">
        <f aca="false">$J$83*Q83*Q77</f>
        <v>138.123984375</v>
      </c>
      <c r="R93" s="4" t="n">
        <f aca="false">$J$83*R83*R77</f>
        <v>145.686328125</v>
      </c>
      <c r="S93" s="11" t="n">
        <f aca="false">SUM(K93:R93)</f>
        <v>637.683515625</v>
      </c>
    </row>
    <row r="94" customFormat="false" ht="12.75" hidden="false" customHeight="false" outlineLevel="0" collapsed="false">
      <c r="A94" s="0" t="n">
        <v>26</v>
      </c>
      <c r="B94" s="0" t="n">
        <v>165</v>
      </c>
      <c r="C94" s="0" t="n">
        <v>64</v>
      </c>
      <c r="D94" s="6" t="n">
        <v>179</v>
      </c>
      <c r="E94" s="1" t="n">
        <v>77</v>
      </c>
      <c r="F94" s="0" t="s">
        <v>85</v>
      </c>
      <c r="J94" s="0" t="n">
        <v>7</v>
      </c>
      <c r="K94" s="4" t="n">
        <f aca="false">$J$84*K84*K77</f>
        <v>0</v>
      </c>
      <c r="L94" s="4" t="n">
        <f aca="false">$J$84*L84*L77</f>
        <v>0</v>
      </c>
      <c r="M94" s="4" t="n">
        <f aca="false">$J$84*M84*M77</f>
        <v>0</v>
      </c>
      <c r="N94" s="4" t="n">
        <f aca="false">$J$84*N84*N77</f>
        <v>117.788671875</v>
      </c>
      <c r="O94" s="4" t="n">
        <f aca="false">$J$84*O84*O77</f>
        <v>251.01015625</v>
      </c>
      <c r="P94" s="4" t="n">
        <f aca="false">$J$84*P84*P77</f>
        <v>0</v>
      </c>
      <c r="Q94" s="4" t="n">
        <f aca="false">$J$84*Q84*Q77</f>
        <v>0</v>
      </c>
      <c r="R94" s="4" t="n">
        <f aca="false">$J$84*R84*R77</f>
        <v>0</v>
      </c>
      <c r="S94" s="11" t="n">
        <f aca="false">SUM(K94:R94)</f>
        <v>368.798828125</v>
      </c>
    </row>
    <row r="95" customFormat="false" ht="12.75" hidden="false" customHeight="false" outlineLevel="0" collapsed="false">
      <c r="A95" s="0" t="n">
        <v>27</v>
      </c>
      <c r="B95" s="0" t="n">
        <v>172</v>
      </c>
      <c r="C95" s="0" t="n">
        <v>73</v>
      </c>
      <c r="D95" s="6" t="n">
        <v>179</v>
      </c>
      <c r="E95" s="1" t="n">
        <v>80</v>
      </c>
      <c r="J95" s="0" t="n">
        <v>8</v>
      </c>
      <c r="K95" s="4" t="n">
        <f aca="false">$J$85*K85*K77</f>
        <v>0</v>
      </c>
      <c r="L95" s="4" t="n">
        <f aca="false">$J$85*L85*L77</f>
        <v>0</v>
      </c>
      <c r="M95" s="4" t="n">
        <f aca="false">$J$85*M85*M77</f>
        <v>0</v>
      </c>
      <c r="N95" s="4" t="n">
        <f aca="false">$J$85*N85*N77</f>
        <v>0</v>
      </c>
      <c r="O95" s="4" t="n">
        <f aca="false">$J$85*O85*O77</f>
        <v>0</v>
      </c>
      <c r="P95" s="4" t="n">
        <f aca="false">$J$85*P85*P77</f>
        <v>0</v>
      </c>
      <c r="Q95" s="4" t="n">
        <f aca="false">$J$85*Q85*Q77</f>
        <v>0</v>
      </c>
      <c r="R95" s="4" t="n">
        <f aca="false">$J$85*R85*R77</f>
        <v>151.622265625</v>
      </c>
      <c r="S95" s="11" t="n">
        <f aca="false">SUM(K95:R95)</f>
        <v>151.622265625</v>
      </c>
    </row>
    <row r="96" customFormat="false" ht="12.75" hidden="false" customHeight="false" outlineLevel="0" collapsed="false">
      <c r="A96" s="0" t="n">
        <v>28</v>
      </c>
      <c r="B96" s="0" t="n">
        <v>162</v>
      </c>
      <c r="C96" s="0" t="n">
        <v>53</v>
      </c>
      <c r="D96" s="6" t="n">
        <v>179</v>
      </c>
      <c r="E96" s="1" t="n">
        <v>69</v>
      </c>
      <c r="K96" s="11" t="n">
        <f aca="false">SUM(K88:K95)</f>
        <v>681.534375</v>
      </c>
      <c r="L96" s="11" t="n">
        <f aca="false">SUM(L88:L95)</f>
        <v>1023.734765625</v>
      </c>
      <c r="M96" s="11" t="n">
        <f aca="false">SUM(M88:M95)</f>
        <v>2016.8421875</v>
      </c>
      <c r="N96" s="11" t="n">
        <f aca="false">SUM(N88:N95)</f>
        <v>2737.765546875</v>
      </c>
      <c r="O96" s="11" t="n">
        <f aca="false">SUM(O88:O95)</f>
        <v>2259.307421875</v>
      </c>
      <c r="P96" s="11" t="n">
        <f aca="false">SUM(P88:P95)</f>
        <v>1508.223125</v>
      </c>
      <c r="Q96" s="11" t="n">
        <f aca="false">SUM(Q88:Q95)</f>
        <v>405.930234375</v>
      </c>
      <c r="R96" s="11" t="n">
        <f aca="false">SUM(R88:R95)</f>
        <v>297.30859375</v>
      </c>
      <c r="S96" s="11" t="n">
        <f aca="false">SUM(K96:R96)</f>
        <v>10930.64625</v>
      </c>
      <c r="T96" s="0" t="s">
        <v>86</v>
      </c>
    </row>
    <row r="97" customFormat="false" ht="12.75" hidden="false" customHeight="false" outlineLevel="0" collapsed="false">
      <c r="A97" s="0" t="n">
        <v>29</v>
      </c>
      <c r="B97" s="0" t="n">
        <v>180</v>
      </c>
      <c r="C97" s="0" t="n">
        <v>69</v>
      </c>
      <c r="D97" s="6" t="n">
        <v>179</v>
      </c>
      <c r="E97" s="1" t="n">
        <v>71</v>
      </c>
      <c r="F97" s="0" t="s">
        <v>87</v>
      </c>
      <c r="H97" s="0" t="s">
        <v>88</v>
      </c>
      <c r="K97" s="0" t="s">
        <v>89</v>
      </c>
      <c r="N97" s="0" t="s">
        <v>90</v>
      </c>
    </row>
    <row r="98" customFormat="false" ht="12.75" hidden="false" customHeight="false" outlineLevel="0" collapsed="false">
      <c r="A98" s="0" t="n">
        <v>30</v>
      </c>
      <c r="B98" s="0" t="n">
        <v>172</v>
      </c>
      <c r="C98" s="0" t="n">
        <v>69</v>
      </c>
      <c r="D98" s="5" t="n">
        <v>180</v>
      </c>
      <c r="E98" s="1" t="n">
        <v>65</v>
      </c>
      <c r="F98" s="0" t="s">
        <v>91</v>
      </c>
      <c r="H98" s="0" t="s">
        <v>1</v>
      </c>
      <c r="I98" s="31" t="n">
        <f aca="false">K77</f>
        <v>52.125</v>
      </c>
      <c r="J98" s="31" t="n">
        <f aca="false">L77</f>
        <v>56.375</v>
      </c>
      <c r="K98" s="31" t="n">
        <f aca="false">M77</f>
        <v>60.625</v>
      </c>
      <c r="L98" s="31" t="n">
        <f aca="false">N77</f>
        <v>64.875</v>
      </c>
      <c r="M98" s="31" t="n">
        <f aca="false">O77</f>
        <v>69.125</v>
      </c>
      <c r="N98" s="31" t="n">
        <f aca="false">P77</f>
        <v>73.375</v>
      </c>
      <c r="O98" s="31" t="n">
        <f aca="false">Q77</f>
        <v>77.625</v>
      </c>
      <c r="P98" s="31" t="n">
        <f aca="false">R77</f>
        <v>81.875</v>
      </c>
    </row>
    <row r="99" customFormat="false" ht="12.75" hidden="false" customHeight="false" outlineLevel="0" collapsed="false">
      <c r="A99" s="0" t="n">
        <v>31</v>
      </c>
      <c r="B99" s="0" t="n">
        <v>171</v>
      </c>
      <c r="C99" s="0" t="n">
        <v>67</v>
      </c>
      <c r="D99" s="5" t="n">
        <v>180</v>
      </c>
      <c r="E99" s="1" t="n">
        <v>69</v>
      </c>
      <c r="F99" s="0" t="s">
        <v>92</v>
      </c>
      <c r="H99" s="0" t="s">
        <v>93</v>
      </c>
      <c r="I99" s="2" t="n">
        <f aca="false">K86</f>
        <v>0.08</v>
      </c>
      <c r="J99" s="2" t="n">
        <f aca="false">L86</f>
        <v>0.11</v>
      </c>
      <c r="K99" s="2" t="n">
        <f aca="false">M86</f>
        <v>0.2</v>
      </c>
      <c r="L99" s="2" t="n">
        <f aca="false">N86</f>
        <v>0.25</v>
      </c>
      <c r="M99" s="2" t="n">
        <f aca="false">O86</f>
        <v>0.19</v>
      </c>
      <c r="N99" s="2" t="n">
        <f aca="false">P86</f>
        <v>0.12</v>
      </c>
      <c r="O99" s="2" t="n">
        <f aca="false">Q86</f>
        <v>0.03</v>
      </c>
      <c r="P99" s="2" t="n">
        <f aca="false">R86</f>
        <v>0.02</v>
      </c>
    </row>
    <row r="100" customFormat="false" ht="12.75" hidden="false" customHeight="false" outlineLevel="0" collapsed="false">
      <c r="A100" s="0" t="n">
        <v>32</v>
      </c>
      <c r="B100" s="0" t="n">
        <v>180</v>
      </c>
      <c r="C100" s="0" t="n">
        <v>69</v>
      </c>
      <c r="D100" s="5" t="n">
        <v>180</v>
      </c>
      <c r="E100" s="1" t="n">
        <v>69</v>
      </c>
      <c r="I100" s="31" t="n">
        <f aca="false">I98*I99</f>
        <v>4.17</v>
      </c>
      <c r="J100" s="31" t="n">
        <f aca="false">J98*J99</f>
        <v>6.20125</v>
      </c>
      <c r="K100" s="31" t="n">
        <f aca="false">K98*K99</f>
        <v>12.125</v>
      </c>
      <c r="L100" s="31" t="n">
        <f aca="false">L98*L99</f>
        <v>16.21875</v>
      </c>
      <c r="M100" s="31" t="n">
        <f aca="false">M98*M99</f>
        <v>13.13375</v>
      </c>
      <c r="N100" s="31" t="n">
        <f aca="false">N98*N99</f>
        <v>8.805</v>
      </c>
      <c r="O100" s="31" t="n">
        <f aca="false">O98*O99</f>
        <v>2.32875</v>
      </c>
      <c r="P100" s="31" t="n">
        <f aca="false">P98*P99</f>
        <v>1.6375</v>
      </c>
      <c r="Q100" s="0" t="n">
        <f aca="false">SUM(I100:P100)</f>
        <v>64.62</v>
      </c>
      <c r="R100" s="0" t="s">
        <v>94</v>
      </c>
    </row>
    <row r="101" customFormat="false" ht="12.75" hidden="false" customHeight="false" outlineLevel="0" collapsed="false">
      <c r="A101" s="0" t="n">
        <v>33</v>
      </c>
      <c r="B101" s="0" t="n">
        <v>166</v>
      </c>
      <c r="C101" s="0" t="n">
        <v>57</v>
      </c>
      <c r="D101" s="0" t="n">
        <v>187</v>
      </c>
      <c r="E101" s="1" t="n">
        <v>84</v>
      </c>
      <c r="F101" s="0" t="s">
        <v>95</v>
      </c>
      <c r="I101" s="31" t="n">
        <f aca="false">I100*I98</f>
        <v>217.36125</v>
      </c>
      <c r="J101" s="31" t="n">
        <f aca="false">J100*J98</f>
        <v>349.59546875</v>
      </c>
      <c r="K101" s="31" t="n">
        <f aca="false">K100*K98</f>
        <v>735.078125</v>
      </c>
      <c r="L101" s="31" t="n">
        <f aca="false">L100*L98</f>
        <v>1052.19140625</v>
      </c>
      <c r="M101" s="31" t="n">
        <f aca="false">M100*M98</f>
        <v>907.87046875</v>
      </c>
      <c r="N101" s="31" t="n">
        <f aca="false">N100*N98</f>
        <v>646.066875</v>
      </c>
      <c r="O101" s="31" t="n">
        <f aca="false">O100*O98</f>
        <v>180.76921875</v>
      </c>
      <c r="P101" s="31" t="n">
        <f aca="false">P100*P98</f>
        <v>134.0703125</v>
      </c>
      <c r="Q101" s="0" t="n">
        <f aca="false">SUM(I101:P101)</f>
        <v>4223.003125</v>
      </c>
      <c r="R101" s="0" t="s">
        <v>96</v>
      </c>
    </row>
    <row r="102" customFormat="false" ht="12.75" hidden="false" customHeight="false" outlineLevel="0" collapsed="false">
      <c r="H102" s="0" t="s">
        <v>97</v>
      </c>
      <c r="K102" s="0" t="n">
        <f aca="false">(S96-R108*Q100)/(R111*S102)</f>
        <v>0.584976091404183</v>
      </c>
      <c r="M102" s="0" t="s">
        <v>98</v>
      </c>
      <c r="N102" s="0" t="n">
        <f aca="false">K102*S102/R111</f>
        <v>0.714658606951571</v>
      </c>
      <c r="Q102" s="0" t="n">
        <f aca="false">-Q100*Q100+Q101</f>
        <v>47.2587249999997</v>
      </c>
      <c r="R102" s="0" t="s">
        <v>99</v>
      </c>
      <c r="S102" s="0" t="n">
        <f aca="false">Q102^0.5</f>
        <v>6.87449816350253</v>
      </c>
      <c r="T102" s="0" t="s">
        <v>100</v>
      </c>
    </row>
    <row r="105" customFormat="false" ht="12.75" hidden="false" customHeight="false" outlineLevel="0" collapsed="false">
      <c r="J105" s="0" t="s">
        <v>101</v>
      </c>
      <c r="M105" s="0" t="s">
        <v>102</v>
      </c>
    </row>
    <row r="106" customFormat="false" ht="12.75" hidden="false" customHeight="false" outlineLevel="0" collapsed="false">
      <c r="I106" s="0" t="s">
        <v>103</v>
      </c>
      <c r="J106" s="41" t="n">
        <f aca="false">J78</f>
        <v>159.8125</v>
      </c>
      <c r="K106" s="41" t="n">
        <f aca="false">J79</f>
        <v>163.4375</v>
      </c>
      <c r="L106" s="41" t="n">
        <f aca="false">J80</f>
        <v>167.0625</v>
      </c>
      <c r="M106" s="41" t="n">
        <f aca="false">J81</f>
        <v>170.6875</v>
      </c>
      <c r="N106" s="41" t="n">
        <f aca="false">J82</f>
        <v>174.3125</v>
      </c>
      <c r="O106" s="41" t="n">
        <f aca="false">J83</f>
        <v>177.9375</v>
      </c>
      <c r="P106" s="41" t="n">
        <f aca="false">J84</f>
        <v>181.5625</v>
      </c>
      <c r="Q106" s="41" t="n">
        <f aca="false">J85</f>
        <v>185.1875</v>
      </c>
      <c r="R106" s="17"/>
    </row>
    <row r="107" customFormat="false" ht="12.75" hidden="false" customHeight="false" outlineLevel="0" collapsed="false">
      <c r="I107" s="0" t="s">
        <v>93</v>
      </c>
      <c r="J107" s="4" t="n">
        <f aca="false">S78</f>
        <v>0.09</v>
      </c>
      <c r="K107" s="4" t="n">
        <f aca="false">S79</f>
        <v>0.22</v>
      </c>
      <c r="L107" s="4" t="n">
        <f aca="false">S80</f>
        <v>0.2</v>
      </c>
      <c r="M107" s="4" t="n">
        <f aca="false">S81</f>
        <v>0.24</v>
      </c>
      <c r="N107" s="4" t="n">
        <f aca="false">S82</f>
        <v>0.16</v>
      </c>
      <c r="O107" s="4" t="n">
        <f aca="false">S83</f>
        <v>0.05</v>
      </c>
      <c r="P107" s="4" t="n">
        <f aca="false">S84</f>
        <v>0.03</v>
      </c>
      <c r="Q107" s="4" t="n">
        <f aca="false">S85</f>
        <v>0.01</v>
      </c>
      <c r="R107" s="17"/>
    </row>
    <row r="108" customFormat="false" ht="12.75" hidden="false" customHeight="false" outlineLevel="0" collapsed="false">
      <c r="J108" s="17" t="n">
        <f aca="false">J106*J107</f>
        <v>14.383125</v>
      </c>
      <c r="K108" s="17" t="n">
        <f aca="false">K106*K107</f>
        <v>35.95625</v>
      </c>
      <c r="L108" s="17" t="n">
        <f aca="false">L106*L107</f>
        <v>33.4125</v>
      </c>
      <c r="M108" s="17" t="n">
        <f aca="false">M106*M107</f>
        <v>40.965</v>
      </c>
      <c r="N108" s="17" t="n">
        <f aca="false">N106*N107</f>
        <v>27.89</v>
      </c>
      <c r="O108" s="17" t="n">
        <f aca="false">O106*O107</f>
        <v>8.896875</v>
      </c>
      <c r="P108" s="17" t="n">
        <f aca="false">P106*P107</f>
        <v>5.446875</v>
      </c>
      <c r="Q108" s="17" t="n">
        <f aca="false">Q106*Q107</f>
        <v>1.851875</v>
      </c>
      <c r="R108" s="4" t="n">
        <f aca="false">SUM(J108:Q108)</f>
        <v>168.8025</v>
      </c>
      <c r="S108" s="0" t="s">
        <v>104</v>
      </c>
    </row>
    <row r="109" customFormat="false" ht="12.75" hidden="false" customHeight="false" outlineLevel="0" collapsed="false">
      <c r="J109" s="17" t="n">
        <f aca="false">J108*J106</f>
        <v>2298.6031640625</v>
      </c>
      <c r="K109" s="17" t="n">
        <f aca="false">K108*K106</f>
        <v>5876.599609375</v>
      </c>
      <c r="L109" s="17" t="n">
        <f aca="false">L108*L106</f>
        <v>5581.97578125</v>
      </c>
      <c r="M109" s="17" t="n">
        <f aca="false">M108*M106</f>
        <v>6992.2134375</v>
      </c>
      <c r="N109" s="17" t="n">
        <f aca="false">N108*N106</f>
        <v>4861.575625</v>
      </c>
      <c r="O109" s="17" t="n">
        <f aca="false">O108*O106</f>
        <v>1583.0876953125</v>
      </c>
      <c r="P109" s="17" t="n">
        <f aca="false">P108*P106</f>
        <v>988.9482421875</v>
      </c>
      <c r="Q109" s="17" t="n">
        <f aca="false">Q108*Q106</f>
        <v>342.9441015625</v>
      </c>
      <c r="R109" s="17" t="n">
        <f aca="false">SUM(J109:Q109)</f>
        <v>28525.94765625</v>
      </c>
      <c r="S109" s="0" t="s">
        <v>105</v>
      </c>
    </row>
    <row r="110" customFormat="false" ht="12.75" hidden="false" customHeight="false" outlineLevel="0" collapsed="false">
      <c r="J110" s="17"/>
      <c r="K110" s="17"/>
      <c r="L110" s="17"/>
      <c r="M110" s="17"/>
      <c r="N110" s="17"/>
      <c r="O110" s="17"/>
      <c r="P110" s="17"/>
      <c r="Q110" s="17"/>
      <c r="R110" s="17" t="n">
        <f aca="false">-R108*R108+R109</f>
        <v>31.6636499999986</v>
      </c>
      <c r="S110" s="0" t="s">
        <v>106</v>
      </c>
    </row>
    <row r="111" customFormat="false" ht="12.75" hidden="false" customHeight="false" outlineLevel="0" collapsed="false">
      <c r="J111" s="17"/>
      <c r="K111" s="17"/>
      <c r="L111" s="17"/>
      <c r="M111" s="17"/>
      <c r="N111" s="17"/>
      <c r="O111" s="17"/>
      <c r="P111" s="17"/>
      <c r="Q111" s="17"/>
      <c r="R111" s="7" t="n">
        <f aca="false">R110^0.5</f>
        <v>5.62704629446023</v>
      </c>
      <c r="S111" s="0" t="s">
        <v>107</v>
      </c>
    </row>
    <row r="118" customFormat="false" ht="12.75" hidden="false" customHeight="false" outlineLevel="0" collapsed="false">
      <c r="J118" s="0" t="s">
        <v>108</v>
      </c>
      <c r="L118" s="1" t="n">
        <f aca="false">8/65</f>
        <v>0.123076923076923</v>
      </c>
      <c r="M118" s="0" t="n">
        <f aca="false">1/13</f>
        <v>0.0769230769230769</v>
      </c>
    </row>
    <row r="119" customFormat="false" ht="12.75" hidden="false" customHeight="false" outlineLevel="0" collapsed="false">
      <c r="I119" s="0" t="s">
        <v>0</v>
      </c>
      <c r="J119" s="0" t="n">
        <v>0</v>
      </c>
      <c r="K119" s="0" t="n">
        <v>1</v>
      </c>
      <c r="L119" s="0" t="n">
        <v>2</v>
      </c>
      <c r="M119" s="0" t="n">
        <v>3</v>
      </c>
    </row>
    <row r="120" customFormat="false" ht="12.75" hidden="false" customHeight="false" outlineLevel="0" collapsed="false">
      <c r="I120" s="0" t="s">
        <v>93</v>
      </c>
      <c r="J120" s="7" t="n">
        <f aca="false">COMBIN(7,0)*COMBIN(8,3)/COMBIN(15,3)</f>
        <v>0.123076923076923</v>
      </c>
      <c r="K120" s="7" t="n">
        <f aca="false">COMBIN(7,1)*COMBIN(8,2)/COMBIN(15,3)</f>
        <v>0.430769230769231</v>
      </c>
      <c r="L120" s="7" t="n">
        <f aca="false">COMBIN(7,2)*COMBIN(8,1)/COMBIN(15,3)</f>
        <v>0.369230769230769</v>
      </c>
      <c r="M120" s="7" t="n">
        <f aca="false">COMBIN(7,3)*COMBIN(8,0)/COMBIN(15,3)</f>
        <v>0.0769230769230769</v>
      </c>
      <c r="O120" s="0" t="n">
        <f aca="false">SUM(J120:N120)</f>
        <v>1</v>
      </c>
    </row>
    <row r="121" customFormat="false" ht="12.75" hidden="false" customHeight="false" outlineLevel="0" collapsed="false">
      <c r="J121" s="7" t="n">
        <f aca="false">J120*J119</f>
        <v>0</v>
      </c>
      <c r="K121" s="7" t="n">
        <f aca="false">K120*K119</f>
        <v>0.430769230769231</v>
      </c>
      <c r="L121" s="7" t="n">
        <f aca="false">L120*L119</f>
        <v>0.738461538461538</v>
      </c>
      <c r="M121" s="7" t="n">
        <f aca="false">M120*M119</f>
        <v>0.230769230769231</v>
      </c>
      <c r="O121" s="0" t="n">
        <f aca="false">SUM(J121:N121)</f>
        <v>1.4</v>
      </c>
      <c r="P121" s="0" t="s">
        <v>109</v>
      </c>
    </row>
    <row r="122" customFormat="false" ht="12.75" hidden="false" customHeight="false" outlineLevel="0" collapsed="false">
      <c r="J122" s="7" t="n">
        <f aca="false">J121*J119</f>
        <v>0</v>
      </c>
      <c r="K122" s="7" t="n">
        <f aca="false">K121*K119</f>
        <v>0.430769230769231</v>
      </c>
      <c r="L122" s="7" t="n">
        <f aca="false">L121*L119</f>
        <v>1.47692307692308</v>
      </c>
      <c r="M122" s="7" t="n">
        <f aca="false">M121*M119</f>
        <v>0.692307692307692</v>
      </c>
      <c r="O122" s="0" t="n">
        <f aca="false">SUM(J122:N122)</f>
        <v>2.6</v>
      </c>
      <c r="P122" s="0" t="s">
        <v>110</v>
      </c>
    </row>
    <row r="123" customFormat="false" ht="12.75" hidden="false" customHeight="false" outlineLevel="0" collapsed="false">
      <c r="L123" s="1"/>
      <c r="O123" s="0" t="n">
        <f aca="false">O122-O121*O121</f>
        <v>0.64</v>
      </c>
      <c r="P123" s="0" t="s">
        <v>111</v>
      </c>
    </row>
    <row r="124" customFormat="false" ht="12.75" hidden="false" customHeight="false" outlineLevel="0" collapsed="false">
      <c r="J124" s="0" t="n">
        <f aca="false">J120*(J119-$O$121)^2</f>
        <v>0.241230769230769</v>
      </c>
      <c r="K124" s="0" t="n">
        <f aca="false">K120*(K119-$O$121)^2</f>
        <v>0.0689230769230769</v>
      </c>
      <c r="L124" s="0" t="n">
        <f aca="false">L120*(L119-$O$121)^2</f>
        <v>0.132923076923077</v>
      </c>
      <c r="M124" s="0" t="n">
        <f aca="false">M120*(M119-$O$121)^2</f>
        <v>0.196923076923077</v>
      </c>
      <c r="O124" s="0" t="n">
        <f aca="false">SUM(J124:N124)</f>
        <v>0.64</v>
      </c>
    </row>
    <row r="125" customFormat="false" ht="12.75" hidden="false" customHeight="false" outlineLevel="0" collapsed="false">
      <c r="I125" s="0" t="s">
        <v>112</v>
      </c>
      <c r="J125" s="7" t="n">
        <f aca="false">J120</f>
        <v>0.123076923076923</v>
      </c>
      <c r="K125" s="7" t="n">
        <f aca="false">J125+K120</f>
        <v>0.553846153846154</v>
      </c>
      <c r="L125" s="7" t="n">
        <f aca="false">K125+L120</f>
        <v>0.923076923076923</v>
      </c>
      <c r="M125" s="7" t="n">
        <f aca="false">L125+M120</f>
        <v>1</v>
      </c>
    </row>
  </sheetData>
  <printOptions headings="false" gridLines="true" gridLinesSet="true" horizontalCentered="false" verticalCentered="false"/>
  <pageMargins left="0.39375" right="0.39375" top="0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K21" activeCellId="0" sqref="K21"/>
    </sheetView>
  </sheetViews>
  <sheetFormatPr defaultColWidth="8.5078125" defaultRowHeight="12.75" customHeight="false" zeroHeight="false" outlineLevelRow="0" outlineLevelCol="0"/>
  <sheetData>
    <row r="1" customFormat="false" ht="12.75" hidden="false" customHeight="false" outlineLevel="0" collapsed="false">
      <c r="A1" s="45" t="s">
        <v>113</v>
      </c>
      <c r="B1" s="45" t="s">
        <v>114</v>
      </c>
    </row>
    <row r="2" customFormat="false" ht="12.75" hidden="false" customHeight="false" outlineLevel="0" collapsed="false">
      <c r="A2" s="46" t="n">
        <v>153.25</v>
      </c>
      <c r="B2" s="47" t="n">
        <v>1</v>
      </c>
    </row>
    <row r="3" customFormat="false" ht="12.75" hidden="false" customHeight="false" outlineLevel="0" collapsed="false">
      <c r="A3" s="46" t="n">
        <v>158.5</v>
      </c>
      <c r="B3" s="47" t="n">
        <v>4</v>
      </c>
    </row>
    <row r="4" customFormat="false" ht="12.75" hidden="false" customHeight="false" outlineLevel="0" collapsed="false">
      <c r="A4" s="46" t="n">
        <v>163.75</v>
      </c>
      <c r="B4" s="47" t="n">
        <v>13</v>
      </c>
    </row>
    <row r="5" customFormat="false" ht="12.75" hidden="false" customHeight="false" outlineLevel="0" collapsed="false">
      <c r="A5" s="46" t="n">
        <v>169</v>
      </c>
      <c r="B5" s="47" t="n">
        <v>36</v>
      </c>
    </row>
    <row r="6" customFormat="false" ht="12.75" hidden="false" customHeight="false" outlineLevel="0" collapsed="false">
      <c r="A6" s="46" t="n">
        <v>174.25</v>
      </c>
      <c r="B6" s="47" t="n">
        <v>24</v>
      </c>
    </row>
    <row r="7" customFormat="false" ht="12.75" hidden="false" customHeight="false" outlineLevel="0" collapsed="false">
      <c r="A7" s="46" t="n">
        <v>179.5</v>
      </c>
      <c r="B7" s="47" t="n">
        <v>15</v>
      </c>
    </row>
    <row r="8" customFormat="false" ht="12.75" hidden="false" customHeight="false" outlineLevel="0" collapsed="false">
      <c r="A8" s="46" t="n">
        <v>184.75</v>
      </c>
      <c r="B8" s="47" t="n">
        <v>3</v>
      </c>
    </row>
    <row r="9" customFormat="false" ht="12.75" hidden="false" customHeight="false" outlineLevel="0" collapsed="false">
      <c r="A9" s="46" t="n">
        <v>190</v>
      </c>
      <c r="B9" s="47" t="n">
        <v>4</v>
      </c>
    </row>
    <row r="10" customFormat="false" ht="12.75" hidden="false" customHeight="false" outlineLevel="0" collapsed="false">
      <c r="A10" s="48" t="s">
        <v>115</v>
      </c>
      <c r="B10" s="48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145"/>
  <sheetViews>
    <sheetView showFormulas="false" showGridLines="true" showRowColHeaders="true" showZeros="true" rightToLeft="false" tabSelected="true" showOutlineSymbols="true" defaultGridColor="true" view="normal" topLeftCell="A81" colorId="64" zoomScale="65" zoomScaleNormal="65" zoomScalePageLayoutView="100" workbookViewId="0">
      <selection pane="topLeft" activeCell="M79" activeCellId="0" sqref="M79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2" min="1" style="18" width="6.88"/>
    <col collapsed="false" customWidth="true" hidden="false" outlineLevel="0" max="3" min="3" style="49" width="7"/>
    <col collapsed="false" customWidth="true" hidden="false" outlineLevel="0" max="4" min="4" style="50" width="7"/>
    <col collapsed="false" customWidth="true" hidden="false" outlineLevel="0" max="5" min="5" style="0" width="6.56"/>
    <col collapsed="false" customWidth="true" hidden="false" outlineLevel="0" max="6" min="6" style="0" width="6"/>
    <col collapsed="false" customWidth="true" hidden="false" outlineLevel="0" max="7" min="7" style="0" width="14.88"/>
    <col collapsed="false" customWidth="true" hidden="false" outlineLevel="0" max="8" min="8" style="0" width="7.33"/>
    <col collapsed="false" customWidth="true" hidden="false" outlineLevel="0" max="9" min="9" style="0" width="7.44"/>
    <col collapsed="false" customWidth="true" hidden="false" outlineLevel="0" max="10" min="10" style="0" width="8.88"/>
    <col collapsed="false" customWidth="true" hidden="false" outlineLevel="0" max="11" min="11" style="0" width="12.88"/>
    <col collapsed="false" customWidth="true" hidden="false" outlineLevel="0" max="12" min="12" style="0" width="10.33"/>
    <col collapsed="false" customWidth="true" hidden="false" outlineLevel="0" max="13" min="13" style="0" width="17.44"/>
    <col collapsed="false" customWidth="true" hidden="false" outlineLevel="0" max="14" min="14" style="0" width="13.11"/>
    <col collapsed="false" customWidth="true" hidden="false" outlineLevel="0" max="15" min="15" style="0" width="9"/>
    <col collapsed="false" customWidth="true" hidden="false" outlineLevel="0" max="16" min="16" style="0" width="9.33"/>
    <col collapsed="false" customWidth="true" hidden="false" outlineLevel="0" max="17" min="17" style="0" width="9.88"/>
    <col collapsed="false" customWidth="true" hidden="false" outlineLevel="0" max="18" min="18" style="0" width="10.11"/>
    <col collapsed="false" customWidth="true" hidden="false" outlineLevel="0" max="19" min="19" style="0" width="6.33"/>
    <col collapsed="false" customWidth="true" hidden="false" outlineLevel="0" max="26" min="20" style="0" width="9"/>
    <col collapsed="false" customWidth="true" hidden="false" outlineLevel="0" max="27" min="27" style="0" width="11.56"/>
    <col collapsed="false" customWidth="true" hidden="false" outlineLevel="0" max="29" min="28" style="0" width="10.44"/>
    <col collapsed="false" customWidth="true" hidden="false" outlineLevel="0" max="30" min="30" style="0" width="9"/>
    <col collapsed="false" customWidth="true" hidden="false" outlineLevel="0" max="32" min="31" style="0" width="13.34"/>
    <col collapsed="false" customWidth="true" hidden="false" outlineLevel="0" max="33" min="33" style="0" width="9"/>
    <col collapsed="false" customWidth="true" hidden="false" outlineLevel="0" max="34" min="34" style="0" width="11.44"/>
    <col collapsed="false" customWidth="true" hidden="false" outlineLevel="0" max="1024" min="35" style="0" width="9"/>
  </cols>
  <sheetData>
    <row r="1" customFormat="false" ht="12.75" hidden="false" customHeight="false" outlineLevel="0" collapsed="false">
      <c r="A1" s="13" t="s">
        <v>0</v>
      </c>
      <c r="B1" s="51" t="s">
        <v>1</v>
      </c>
      <c r="C1" s="52" t="s">
        <v>0</v>
      </c>
      <c r="D1" s="53" t="s">
        <v>1</v>
      </c>
      <c r="F1" s="0" t="s">
        <v>2</v>
      </c>
      <c r="G1" s="4" t="n">
        <f aca="false">MIN(A2:A101)</f>
        <v>156</v>
      </c>
      <c r="H1" s="0" t="s">
        <v>3</v>
      </c>
      <c r="I1" s="4" t="n">
        <f aca="false">MAX(A2:A101)</f>
        <v>180</v>
      </c>
      <c r="K1" s="5" t="s">
        <v>116</v>
      </c>
      <c r="L1" s="5"/>
      <c r="P1" s="0" t="s">
        <v>5</v>
      </c>
    </row>
    <row r="2" customFormat="false" ht="12.75" hidden="false" customHeight="false" outlineLevel="0" collapsed="false">
      <c r="A2" s="54" t="n">
        <v>174</v>
      </c>
      <c r="B2" s="54" t="n">
        <v>70</v>
      </c>
      <c r="C2" s="54" t="n">
        <v>156</v>
      </c>
      <c r="D2" s="54" t="n">
        <v>51</v>
      </c>
      <c r="E2" s="0" t="s">
        <v>6</v>
      </c>
      <c r="F2" s="0" t="s">
        <v>7</v>
      </c>
      <c r="G2" s="4" t="n">
        <f aca="false">I1-G1</f>
        <v>24</v>
      </c>
      <c r="H2" s="0" t="s">
        <v>8</v>
      </c>
      <c r="P2" s="0" t="s">
        <v>9</v>
      </c>
    </row>
    <row r="3" customFormat="false" ht="12.75" hidden="false" customHeight="false" outlineLevel="0" collapsed="false">
      <c r="A3" s="54" t="n">
        <v>166</v>
      </c>
      <c r="B3" s="54" t="n">
        <v>57</v>
      </c>
      <c r="C3" s="54" t="n">
        <v>156</v>
      </c>
      <c r="D3" s="54" t="n">
        <v>52</v>
      </c>
      <c r="F3" s="0" t="s">
        <v>10</v>
      </c>
      <c r="G3" s="0" t="n">
        <f aca="false">ROUND(1+3.32*LOG10(100),0)</f>
        <v>8</v>
      </c>
      <c r="P3" s="0" t="s">
        <v>11</v>
      </c>
    </row>
    <row r="4" customFormat="false" ht="12.75" hidden="false" customHeight="false" outlineLevel="0" collapsed="false">
      <c r="A4" s="54" t="n">
        <v>161</v>
      </c>
      <c r="B4" s="54" t="n">
        <v>55</v>
      </c>
      <c r="C4" s="54" t="n">
        <v>156</v>
      </c>
      <c r="D4" s="54" t="n">
        <v>52</v>
      </c>
      <c r="F4" s="0" t="s">
        <v>12</v>
      </c>
      <c r="G4" s="7" t="n">
        <f aca="false">G2/G3</f>
        <v>3</v>
      </c>
      <c r="P4" s="0" t="s">
        <v>13</v>
      </c>
    </row>
    <row r="5" customFormat="false" ht="12.75" hidden="false" customHeight="false" outlineLevel="0" collapsed="false">
      <c r="A5" s="54" t="n">
        <v>172</v>
      </c>
      <c r="B5" s="54" t="n">
        <v>60</v>
      </c>
      <c r="C5" s="54" t="n">
        <v>157</v>
      </c>
      <c r="D5" s="54" t="n">
        <v>54</v>
      </c>
      <c r="I5" s="0" t="s">
        <v>117</v>
      </c>
      <c r="J5" s="0" t="s">
        <v>118</v>
      </c>
      <c r="K5" s="0" t="s">
        <v>119</v>
      </c>
      <c r="L5" s="0" t="s">
        <v>120</v>
      </c>
      <c r="M5" s="0" t="s">
        <v>121</v>
      </c>
      <c r="N5" s="0" t="s">
        <v>14</v>
      </c>
      <c r="P5" s="0" t="s">
        <v>15</v>
      </c>
    </row>
    <row r="6" customFormat="false" ht="12.9" hidden="false" customHeight="false" outlineLevel="0" collapsed="false">
      <c r="A6" s="54" t="n">
        <v>166</v>
      </c>
      <c r="B6" s="54" t="n">
        <v>57</v>
      </c>
      <c r="C6" s="54" t="n">
        <v>161</v>
      </c>
      <c r="D6" s="54" t="n">
        <v>54</v>
      </c>
      <c r="F6" s="8"/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10" t="s">
        <v>21</v>
      </c>
      <c r="M6" s="2" t="s">
        <v>22</v>
      </c>
      <c r="N6" s="10" t="s">
        <v>23</v>
      </c>
      <c r="P6" s="0" t="s">
        <v>24</v>
      </c>
    </row>
    <row r="7" customFormat="false" ht="12.75" hidden="false" customHeight="false" outlineLevel="0" collapsed="false">
      <c r="A7" s="54" t="n">
        <v>169</v>
      </c>
      <c r="B7" s="54" t="n">
        <v>62</v>
      </c>
      <c r="C7" s="54" t="n">
        <v>161</v>
      </c>
      <c r="D7" s="54" t="n">
        <v>54</v>
      </c>
      <c r="F7" s="8" t="n">
        <v>1</v>
      </c>
      <c r="G7" s="11" t="n">
        <f aca="false">$G$1</f>
        <v>156</v>
      </c>
      <c r="H7" s="11" t="n">
        <f aca="false">G7+$G$4</f>
        <v>159</v>
      </c>
      <c r="I7" s="13" t="n">
        <f aca="false">COUNTIFS(A$2:A$101, "&gt;=156", A$2:A$101, "&lt;159")</f>
        <v>4</v>
      </c>
      <c r="J7" s="13" t="n">
        <f aca="false">I7</f>
        <v>4</v>
      </c>
      <c r="K7" s="11" t="n">
        <f aca="false">(G7+H7)/2</f>
        <v>157.5</v>
      </c>
      <c r="L7" s="2" t="n">
        <f aca="false">I7/100</f>
        <v>0.04</v>
      </c>
      <c r="M7" s="2" t="n">
        <f aca="false">J7/100</f>
        <v>0.04</v>
      </c>
      <c r="N7" s="12" t="n">
        <f aca="false">L7/$G$4</f>
        <v>0.0133333333333333</v>
      </c>
      <c r="P7" s="0" t="s">
        <v>25</v>
      </c>
    </row>
    <row r="8" customFormat="false" ht="12.75" hidden="false" customHeight="false" outlineLevel="0" collapsed="false">
      <c r="A8" s="54" t="n">
        <v>168</v>
      </c>
      <c r="B8" s="54" t="n">
        <v>70</v>
      </c>
      <c r="C8" s="54" t="n">
        <v>161</v>
      </c>
      <c r="D8" s="54" t="n">
        <v>55</v>
      </c>
      <c r="F8" s="8" t="n">
        <v>2</v>
      </c>
      <c r="G8" s="11" t="n">
        <f aca="false">H7</f>
        <v>159</v>
      </c>
      <c r="H8" s="11" t="n">
        <f aca="false">G8+$G$4</f>
        <v>162</v>
      </c>
      <c r="I8" s="13" t="n">
        <f aca="false">COUNTIFS(A$2:A$101, "&gt;=159", A$2:A$101, "&lt;162")</f>
        <v>3</v>
      </c>
      <c r="J8" s="13" t="n">
        <f aca="false">I8+J7</f>
        <v>7</v>
      </c>
      <c r="K8" s="11" t="n">
        <f aca="false">(G8+H8)/2</f>
        <v>160.5</v>
      </c>
      <c r="L8" s="2" t="n">
        <f aca="false">I8/100</f>
        <v>0.03</v>
      </c>
      <c r="M8" s="2" t="n">
        <f aca="false">J8/100</f>
        <v>0.07</v>
      </c>
      <c r="N8" s="12" t="n">
        <f aca="false">L8/$G$4</f>
        <v>0.01</v>
      </c>
      <c r="P8" s="0" t="s">
        <v>26</v>
      </c>
    </row>
    <row r="9" customFormat="false" ht="12.75" hidden="false" customHeight="false" outlineLevel="0" collapsed="false">
      <c r="A9" s="54" t="n">
        <v>167</v>
      </c>
      <c r="B9" s="54" t="n">
        <v>65</v>
      </c>
      <c r="C9" s="54" t="n">
        <v>162</v>
      </c>
      <c r="D9" s="54" t="n">
        <v>55</v>
      </c>
      <c r="F9" s="8" t="n">
        <v>3</v>
      </c>
      <c r="G9" s="11" t="n">
        <f aca="false">H8</f>
        <v>162</v>
      </c>
      <c r="H9" s="11" t="n">
        <f aca="false">G9+$G$4</f>
        <v>165</v>
      </c>
      <c r="I9" s="13" t="n">
        <f aca="false">COUNTIFS(A$2:A$101, "&gt;=162", A$2:A$101, "&lt;165")</f>
        <v>13</v>
      </c>
      <c r="J9" s="13" t="n">
        <f aca="false">I9+J8</f>
        <v>20</v>
      </c>
      <c r="K9" s="11" t="n">
        <f aca="false">(G9+H9)/2</f>
        <v>163.5</v>
      </c>
      <c r="L9" s="2" t="n">
        <f aca="false">I9/100</f>
        <v>0.13</v>
      </c>
      <c r="M9" s="2" t="n">
        <f aca="false">J9/100</f>
        <v>0.2</v>
      </c>
      <c r="N9" s="12" t="n">
        <f aca="false">L9/$G$4</f>
        <v>0.0433333333333333</v>
      </c>
      <c r="P9" s="0" t="s">
        <v>27</v>
      </c>
    </row>
    <row r="10" customFormat="false" ht="12.75" hidden="false" customHeight="false" outlineLevel="0" collapsed="false">
      <c r="A10" s="54" t="n">
        <v>178</v>
      </c>
      <c r="B10" s="54" t="n">
        <v>80</v>
      </c>
      <c r="C10" s="54" t="n">
        <v>162</v>
      </c>
      <c r="D10" s="54" t="n">
        <v>55</v>
      </c>
      <c r="F10" s="8" t="n">
        <v>4</v>
      </c>
      <c r="G10" s="11" t="n">
        <f aca="false">H9</f>
        <v>165</v>
      </c>
      <c r="H10" s="11" t="n">
        <f aca="false">G10+$G$4</f>
        <v>168</v>
      </c>
      <c r="I10" s="13" t="n">
        <f aca="false">COUNTIFS(A$2:A$101, "&gt;=165", A$2:A$101, "&lt;168")</f>
        <v>21</v>
      </c>
      <c r="J10" s="13" t="n">
        <f aca="false">I10+J9</f>
        <v>41</v>
      </c>
      <c r="K10" s="11" t="n">
        <f aca="false">(G10+H10)/2</f>
        <v>166.5</v>
      </c>
      <c r="L10" s="2" t="n">
        <f aca="false">I10/100</f>
        <v>0.21</v>
      </c>
      <c r="M10" s="2" t="n">
        <f aca="false">J10/100</f>
        <v>0.41</v>
      </c>
      <c r="N10" s="12" t="n">
        <f aca="false">L10/$G$4</f>
        <v>0.07</v>
      </c>
      <c r="P10" s="0" t="s">
        <v>28</v>
      </c>
    </row>
    <row r="11" customFormat="false" ht="12.75" hidden="false" customHeight="false" outlineLevel="0" collapsed="false">
      <c r="A11" s="54" t="n">
        <v>165</v>
      </c>
      <c r="B11" s="54" t="n">
        <v>68</v>
      </c>
      <c r="C11" s="54" t="n">
        <v>162</v>
      </c>
      <c r="D11" s="54" t="n">
        <v>55</v>
      </c>
      <c r="E11" s="0" t="s">
        <v>29</v>
      </c>
      <c r="F11" s="8" t="n">
        <v>5</v>
      </c>
      <c r="G11" s="11" t="n">
        <f aca="false">H10</f>
        <v>168</v>
      </c>
      <c r="H11" s="11" t="n">
        <f aca="false">G11+$G$4</f>
        <v>171</v>
      </c>
      <c r="I11" s="13" t="n">
        <f aca="false">COUNTIFS(A$2:A$101, "&gt;=168", A$2:A$101, "&lt;171")</f>
        <v>21</v>
      </c>
      <c r="J11" s="13" t="n">
        <f aca="false">I11+J10</f>
        <v>62</v>
      </c>
      <c r="K11" s="11" t="n">
        <f aca="false">(G11+H11)/2</f>
        <v>169.5</v>
      </c>
      <c r="L11" s="2" t="n">
        <f aca="false">I11/100</f>
        <v>0.21</v>
      </c>
      <c r="M11" s="2" t="n">
        <f aca="false">J11/100</f>
        <v>0.62</v>
      </c>
      <c r="N11" s="12" t="n">
        <f aca="false">L11/$G$4</f>
        <v>0.07</v>
      </c>
      <c r="P11" s="0" t="s">
        <v>30</v>
      </c>
    </row>
    <row r="12" customFormat="false" ht="12.75" hidden="false" customHeight="false" outlineLevel="0" collapsed="false">
      <c r="A12" s="54" t="n">
        <v>175</v>
      </c>
      <c r="B12" s="54" t="n">
        <v>64</v>
      </c>
      <c r="C12" s="54" t="n">
        <v>163</v>
      </c>
      <c r="D12" s="54" t="n">
        <v>55</v>
      </c>
      <c r="F12" s="8" t="n">
        <v>6</v>
      </c>
      <c r="G12" s="11" t="n">
        <f aca="false">H11</f>
        <v>171</v>
      </c>
      <c r="H12" s="11" t="n">
        <f aca="false">G12+$G$4</f>
        <v>174</v>
      </c>
      <c r="I12" s="13" t="n">
        <f aca="false">COUNTIFS(A$2:A$101, "&gt;=171", A$2:A$101, "&lt;174")</f>
        <v>22</v>
      </c>
      <c r="J12" s="13" t="n">
        <f aca="false">I12+J11</f>
        <v>84</v>
      </c>
      <c r="K12" s="11" t="n">
        <f aca="false">(G12+H12)/2</f>
        <v>172.5</v>
      </c>
      <c r="L12" s="2" t="n">
        <f aca="false">I12/100</f>
        <v>0.22</v>
      </c>
      <c r="M12" s="2" t="n">
        <f aca="false">J12/100</f>
        <v>0.84</v>
      </c>
      <c r="N12" s="12" t="n">
        <f aca="false">L12/$G$4</f>
        <v>0.0733333333333333</v>
      </c>
      <c r="P12" s="0" t="s">
        <v>31</v>
      </c>
    </row>
    <row r="13" customFormat="false" ht="12.75" hidden="false" customHeight="false" outlineLevel="0" collapsed="false">
      <c r="A13" s="54" t="n">
        <v>165</v>
      </c>
      <c r="B13" s="54" t="n">
        <v>55</v>
      </c>
      <c r="C13" s="54" t="n">
        <v>163</v>
      </c>
      <c r="D13" s="54" t="n">
        <v>55</v>
      </c>
      <c r="F13" s="8" t="n">
        <v>7</v>
      </c>
      <c r="G13" s="11" t="n">
        <f aca="false">H12</f>
        <v>174</v>
      </c>
      <c r="H13" s="11" t="n">
        <f aca="false">G13+$G$4</f>
        <v>177</v>
      </c>
      <c r="I13" s="13" t="n">
        <f aca="false">COUNTIFS(A$2:A$101, "&gt;=174", A$2:A$101, "&lt;177")</f>
        <v>10</v>
      </c>
      <c r="J13" s="13" t="n">
        <f aca="false">I13+J12</f>
        <v>94</v>
      </c>
      <c r="K13" s="11" t="n">
        <f aca="false">(G13+H13)/2</f>
        <v>175.5</v>
      </c>
      <c r="L13" s="2" t="n">
        <f aca="false">I13/100</f>
        <v>0.1</v>
      </c>
      <c r="M13" s="2" t="n">
        <f aca="false">J13/100</f>
        <v>0.94</v>
      </c>
      <c r="N13" s="12" t="n">
        <f aca="false">L13/$G$4</f>
        <v>0.0333333333333333</v>
      </c>
    </row>
    <row r="14" customFormat="false" ht="12.75" hidden="false" customHeight="false" outlineLevel="0" collapsed="false">
      <c r="A14" s="54" t="n">
        <v>172</v>
      </c>
      <c r="B14" s="54" t="n">
        <v>78</v>
      </c>
      <c r="C14" s="54" t="n">
        <v>163</v>
      </c>
      <c r="D14" s="54" t="n">
        <v>55</v>
      </c>
      <c r="F14" s="8" t="n">
        <v>8</v>
      </c>
      <c r="G14" s="11" t="n">
        <f aca="false">H13</f>
        <v>177</v>
      </c>
      <c r="H14" s="11" t="n">
        <f aca="false">G14+$G$4</f>
        <v>180</v>
      </c>
      <c r="I14" s="13" t="n">
        <f aca="false">COUNTIFS(A$2:A$101, "&gt;=177", A$2:A$101, "&lt;=180")</f>
        <v>6</v>
      </c>
      <c r="J14" s="13" t="n">
        <f aca="false">I14+J13</f>
        <v>100</v>
      </c>
      <c r="K14" s="11" t="n">
        <f aca="false">(G14+H14)/2</f>
        <v>178.5</v>
      </c>
      <c r="L14" s="2" t="n">
        <f aca="false">I14/100</f>
        <v>0.06</v>
      </c>
      <c r="M14" s="2" t="n">
        <f aca="false">J14/100</f>
        <v>1</v>
      </c>
      <c r="N14" s="12" t="n">
        <f aca="false">L14/$G$4</f>
        <v>0.02</v>
      </c>
    </row>
    <row r="15" customFormat="false" ht="12.75" hidden="false" customHeight="false" outlineLevel="0" collapsed="false">
      <c r="A15" s="54" t="n">
        <v>173</v>
      </c>
      <c r="B15" s="54" t="n">
        <v>65</v>
      </c>
      <c r="C15" s="54" t="n">
        <v>164</v>
      </c>
      <c r="D15" s="54" t="n">
        <v>56</v>
      </c>
      <c r="F15" s="8"/>
      <c r="G15" s="11"/>
      <c r="H15" s="11"/>
      <c r="I15" s="2" t="n">
        <f aca="false">SUM(I7:I14)</f>
        <v>100</v>
      </c>
      <c r="J15" s="9" t="s">
        <v>32</v>
      </c>
      <c r="K15" s="9" t="s">
        <v>32</v>
      </c>
      <c r="L15" s="2" t="n">
        <f aca="false">SUM(L7:L14)</f>
        <v>1</v>
      </c>
      <c r="M15" s="2"/>
      <c r="N15" s="2"/>
    </row>
    <row r="16" customFormat="false" ht="12.75" hidden="false" customHeight="false" outlineLevel="0" collapsed="false">
      <c r="A16" s="54" t="n">
        <v>167</v>
      </c>
      <c r="B16" s="54" t="n">
        <v>63</v>
      </c>
      <c r="C16" s="54" t="n">
        <v>164</v>
      </c>
      <c r="D16" s="54" t="n">
        <v>57</v>
      </c>
    </row>
    <row r="17" customFormat="false" ht="12.75" hidden="false" customHeight="false" outlineLevel="0" collapsed="false">
      <c r="A17" s="54" t="n">
        <v>163</v>
      </c>
      <c r="B17" s="54" t="n">
        <v>67</v>
      </c>
      <c r="C17" s="54" t="n">
        <v>164</v>
      </c>
      <c r="D17" s="54" t="n">
        <v>57</v>
      </c>
      <c r="F17" s="0" t="s">
        <v>33</v>
      </c>
      <c r="G17" s="4" t="n">
        <f aca="false">$J$27</f>
        <v>169.14</v>
      </c>
      <c r="H17" s="4"/>
    </row>
    <row r="18" customFormat="false" ht="17.25" hidden="false" customHeight="true" outlineLevel="0" collapsed="false">
      <c r="A18" s="54" t="n">
        <v>173</v>
      </c>
      <c r="B18" s="54" t="n">
        <v>71</v>
      </c>
      <c r="C18" s="54" t="n">
        <v>164</v>
      </c>
      <c r="D18" s="54" t="n">
        <v>57</v>
      </c>
      <c r="G18" s="9" t="s">
        <v>20</v>
      </c>
      <c r="H18" s="10" t="s">
        <v>34</v>
      </c>
      <c r="I18" s="15" t="s">
        <v>35</v>
      </c>
      <c r="J18" s="9" t="s">
        <v>36</v>
      </c>
      <c r="K18" s="16" t="s">
        <v>37</v>
      </c>
      <c r="L18" s="16" t="s">
        <v>38</v>
      </c>
      <c r="M18" s="16" t="s">
        <v>39</v>
      </c>
      <c r="N18" s="16" t="s">
        <v>40</v>
      </c>
    </row>
    <row r="19" customFormat="false" ht="12.75" hidden="false" customHeight="false" outlineLevel="0" collapsed="false">
      <c r="A19" s="54" t="n">
        <v>164</v>
      </c>
      <c r="B19" s="54" t="n">
        <v>68</v>
      </c>
      <c r="C19" s="54" t="n">
        <v>164</v>
      </c>
      <c r="D19" s="54" t="n">
        <v>57</v>
      </c>
      <c r="F19" s="8" t="n">
        <v>1</v>
      </c>
      <c r="G19" s="11" t="n">
        <f aca="false">K7</f>
        <v>157.5</v>
      </c>
      <c r="H19" s="2" t="n">
        <f aca="false">L7</f>
        <v>0.04</v>
      </c>
      <c r="I19" s="4" t="n">
        <f aca="false">G19-$J$27</f>
        <v>-11.64</v>
      </c>
      <c r="J19" s="4" t="n">
        <f aca="false">G19*H19</f>
        <v>6.3</v>
      </c>
      <c r="K19" s="4" t="n">
        <f aca="false">H19*I19</f>
        <v>-0.465599999999999</v>
      </c>
      <c r="L19" s="4" t="n">
        <f aca="false">K19*I19</f>
        <v>5.41958399999999</v>
      </c>
      <c r="M19" s="17" t="n">
        <f aca="false">L19*I19</f>
        <v>-63.0839577599998</v>
      </c>
      <c r="N19" s="18" t="n">
        <f aca="false">M19*I19</f>
        <v>734.297268326397</v>
      </c>
    </row>
    <row r="20" customFormat="false" ht="12.75" hidden="false" customHeight="false" outlineLevel="0" collapsed="false">
      <c r="A20" s="54" t="n">
        <v>170</v>
      </c>
      <c r="B20" s="54" t="n">
        <v>68</v>
      </c>
      <c r="C20" s="54" t="n">
        <v>164</v>
      </c>
      <c r="D20" s="54" t="n">
        <v>57</v>
      </c>
      <c r="F20" s="8" t="n">
        <v>2</v>
      </c>
      <c r="G20" s="11" t="n">
        <f aca="false">K8</f>
        <v>160.5</v>
      </c>
      <c r="H20" s="2" t="n">
        <f aca="false">L8</f>
        <v>0.03</v>
      </c>
      <c r="I20" s="4" t="n">
        <f aca="false">G20-$J$27</f>
        <v>-8.63999999999999</v>
      </c>
      <c r="J20" s="4" t="n">
        <f aca="false">G20*H20</f>
        <v>4.815</v>
      </c>
      <c r="K20" s="4" t="n">
        <f aca="false">H20*I20</f>
        <v>-0.2592</v>
      </c>
      <c r="L20" s="4" t="n">
        <f aca="false">K20*I20</f>
        <v>2.23948799999999</v>
      </c>
      <c r="M20" s="17" t="n">
        <f aca="false">L20*I20</f>
        <v>-19.3491763199999</v>
      </c>
      <c r="N20" s="18" t="n">
        <f aca="false">M20*I20</f>
        <v>167.176883404799</v>
      </c>
    </row>
    <row r="21" customFormat="false" ht="12.75" hidden="false" customHeight="false" outlineLevel="0" collapsed="false">
      <c r="A21" s="54" t="n">
        <v>164</v>
      </c>
      <c r="B21" s="54" t="n">
        <v>60</v>
      </c>
      <c r="C21" s="54" t="n">
        <v>164</v>
      </c>
      <c r="D21" s="54" t="n">
        <v>57</v>
      </c>
      <c r="F21" s="8" t="n">
        <v>3</v>
      </c>
      <c r="G21" s="11" t="n">
        <f aca="false">K9</f>
        <v>163.5</v>
      </c>
      <c r="H21" s="2" t="n">
        <f aca="false">L9</f>
        <v>0.13</v>
      </c>
      <c r="I21" s="4" t="n">
        <f aca="false">G21-$J$27</f>
        <v>-5.63999999999999</v>
      </c>
      <c r="J21" s="4" t="n">
        <f aca="false">G21*H21</f>
        <v>21.255</v>
      </c>
      <c r="K21" s="4" t="n">
        <f aca="false">H21*I21</f>
        <v>-0.733199999999998</v>
      </c>
      <c r="L21" s="4" t="n">
        <f aca="false">K21*I21</f>
        <v>4.13524799999998</v>
      </c>
      <c r="M21" s="17" t="n">
        <f aca="false">L21*I21</f>
        <v>-23.3227987199998</v>
      </c>
      <c r="N21" s="18" t="n">
        <f aca="false">M21*I21</f>
        <v>131.540584780799</v>
      </c>
    </row>
    <row r="22" customFormat="false" ht="12.75" hidden="false" customHeight="false" outlineLevel="0" collapsed="false">
      <c r="A22" s="54" t="n">
        <v>170</v>
      </c>
      <c r="B22" s="54" t="n">
        <v>63</v>
      </c>
      <c r="C22" s="54" t="n">
        <v>165</v>
      </c>
      <c r="D22" s="54" t="n">
        <v>58</v>
      </c>
      <c r="F22" s="8" t="n">
        <v>4</v>
      </c>
      <c r="G22" s="11" t="n">
        <f aca="false">K10</f>
        <v>166.5</v>
      </c>
      <c r="H22" s="2" t="n">
        <f aca="false">L10</f>
        <v>0.21</v>
      </c>
      <c r="I22" s="4" t="n">
        <f aca="false">G22-$J$27</f>
        <v>-2.63999999999999</v>
      </c>
      <c r="J22" s="4" t="n">
        <f aca="false">G22*H22</f>
        <v>34.965</v>
      </c>
      <c r="K22" s="4" t="n">
        <f aca="false">H22*I22</f>
        <v>-0.554399999999997</v>
      </c>
      <c r="L22" s="4" t="n">
        <f aca="false">K22*I22</f>
        <v>1.46361599999999</v>
      </c>
      <c r="M22" s="17" t="n">
        <f aca="false">L22*I22</f>
        <v>-3.86394623999994</v>
      </c>
      <c r="N22" s="18" t="n">
        <f aca="false">M22*I22</f>
        <v>10.2008180735998</v>
      </c>
    </row>
    <row r="23" customFormat="false" ht="12.75" hidden="false" customHeight="false" outlineLevel="0" collapsed="false">
      <c r="A23" s="54" t="n">
        <v>180</v>
      </c>
      <c r="B23" s="54" t="n">
        <v>73</v>
      </c>
      <c r="C23" s="54" t="n">
        <v>165</v>
      </c>
      <c r="D23" s="54" t="n">
        <v>59</v>
      </c>
      <c r="E23" s="0" t="s">
        <v>41</v>
      </c>
      <c r="F23" s="8" t="n">
        <v>5</v>
      </c>
      <c r="G23" s="11" t="n">
        <f aca="false">K11</f>
        <v>169.5</v>
      </c>
      <c r="H23" s="2" t="n">
        <f aca="false">L11</f>
        <v>0.21</v>
      </c>
      <c r="I23" s="4" t="n">
        <f aca="false">G23-$J$27</f>
        <v>0.360000000000014</v>
      </c>
      <c r="J23" s="4" t="n">
        <f aca="false">G23*H23</f>
        <v>35.595</v>
      </c>
      <c r="K23" s="4" t="n">
        <f aca="false">H23*I23</f>
        <v>0.0756000000000029</v>
      </c>
      <c r="L23" s="4" t="n">
        <f aca="false">K23*I23</f>
        <v>0.0272160000000021</v>
      </c>
      <c r="M23" s="17" t="n">
        <f aca="false">L23*I23</f>
        <v>0.00979776000000111</v>
      </c>
      <c r="N23" s="18" t="n">
        <f aca="false">M23*I23</f>
        <v>0.00352719360000053</v>
      </c>
    </row>
    <row r="24" customFormat="false" ht="12.75" hidden="false" customHeight="false" outlineLevel="0" collapsed="false">
      <c r="A24" s="54" t="n">
        <v>176</v>
      </c>
      <c r="B24" s="54" t="n">
        <v>81</v>
      </c>
      <c r="C24" s="54" t="n">
        <v>165</v>
      </c>
      <c r="D24" s="54" t="n">
        <v>59</v>
      </c>
      <c r="F24" s="8" t="n">
        <v>6</v>
      </c>
      <c r="G24" s="11" t="n">
        <f aca="false">K12</f>
        <v>172.5</v>
      </c>
      <c r="H24" s="2" t="n">
        <f aca="false">L12</f>
        <v>0.22</v>
      </c>
      <c r="I24" s="4" t="n">
        <f aca="false">G24-$J$27</f>
        <v>3.36000000000001</v>
      </c>
      <c r="J24" s="4" t="n">
        <f aca="false">G24*H24</f>
        <v>37.95</v>
      </c>
      <c r="K24" s="4" t="n">
        <f aca="false">H24*I24</f>
        <v>0.739200000000003</v>
      </c>
      <c r="L24" s="4" t="n">
        <f aca="false">K24*I24</f>
        <v>2.48371200000002</v>
      </c>
      <c r="M24" s="17" t="n">
        <f aca="false">L24*I24</f>
        <v>8.3452723200001</v>
      </c>
      <c r="N24" s="18" t="n">
        <f aca="false">M24*I24</f>
        <v>28.0401149952005</v>
      </c>
    </row>
    <row r="25" customFormat="false" ht="12.75" hidden="false" customHeight="false" outlineLevel="0" collapsed="false">
      <c r="A25" s="54" t="n">
        <v>173</v>
      </c>
      <c r="B25" s="54" t="n">
        <v>74</v>
      </c>
      <c r="C25" s="54" t="n">
        <v>165</v>
      </c>
      <c r="D25" s="54" t="n">
        <v>60</v>
      </c>
      <c r="F25" s="8" t="n">
        <v>7</v>
      </c>
      <c r="G25" s="11" t="n">
        <f aca="false">K13</f>
        <v>175.5</v>
      </c>
      <c r="H25" s="2" t="n">
        <f aca="false">L13</f>
        <v>0.1</v>
      </c>
      <c r="I25" s="4" t="n">
        <f aca="false">G25-$J$27</f>
        <v>6.36000000000001</v>
      </c>
      <c r="J25" s="4" t="n">
        <f aca="false">G25*H25</f>
        <v>17.55</v>
      </c>
      <c r="K25" s="4" t="n">
        <f aca="false">H25*I25</f>
        <v>0.636000000000002</v>
      </c>
      <c r="L25" s="4" t="n">
        <f aca="false">K25*I25</f>
        <v>4.04496000000002</v>
      </c>
      <c r="M25" s="17" t="n">
        <f aca="false">L25*I25</f>
        <v>25.7259456000002</v>
      </c>
      <c r="N25" s="18" t="n">
        <f aca="false">M25*I25</f>
        <v>163.617014016001</v>
      </c>
    </row>
    <row r="26" customFormat="false" ht="12.75" hidden="false" customHeight="false" outlineLevel="0" collapsed="false">
      <c r="A26" s="54" t="n">
        <v>168</v>
      </c>
      <c r="B26" s="54" t="n">
        <v>66</v>
      </c>
      <c r="C26" s="54" t="n">
        <v>166</v>
      </c>
      <c r="D26" s="54" t="n">
        <v>60</v>
      </c>
      <c r="F26" s="8" t="n">
        <v>8</v>
      </c>
      <c r="G26" s="11" t="n">
        <f aca="false">K14</f>
        <v>178.5</v>
      </c>
      <c r="H26" s="2" t="n">
        <f aca="false">L14</f>
        <v>0.06</v>
      </c>
      <c r="I26" s="4" t="n">
        <f aca="false">G26-$J$27</f>
        <v>9.36000000000001</v>
      </c>
      <c r="J26" s="4" t="n">
        <f aca="false">G26*H26</f>
        <v>10.71</v>
      </c>
      <c r="K26" s="4" t="n">
        <f aca="false">H26*I26</f>
        <v>0.561600000000001</v>
      </c>
      <c r="L26" s="4" t="n">
        <f aca="false">K26*I26</f>
        <v>5.25657600000002</v>
      </c>
      <c r="M26" s="17" t="n">
        <f aca="false">L26*I26</f>
        <v>49.2015513600002</v>
      </c>
      <c r="N26" s="18" t="n">
        <f aca="false">M26*I26</f>
        <v>460.526520729603</v>
      </c>
    </row>
    <row r="27" customFormat="false" ht="12.75" hidden="false" customHeight="false" outlineLevel="0" collapsed="false">
      <c r="A27" s="54" t="n">
        <v>161</v>
      </c>
      <c r="B27" s="54" t="n">
        <v>55</v>
      </c>
      <c r="C27" s="54" t="n">
        <v>166</v>
      </c>
      <c r="D27" s="54" t="n">
        <v>60</v>
      </c>
      <c r="I27" s="0" t="s">
        <v>33</v>
      </c>
      <c r="J27" s="55" t="n">
        <f aca="false">SUM(J19:J26)</f>
        <v>169.14</v>
      </c>
      <c r="K27" s="19" t="n">
        <f aca="false">SUM(K19:K26)</f>
        <v>1.35724764760425E-014</v>
      </c>
      <c r="L27" s="56" t="n">
        <f aca="false">SUM(L19:L26)</f>
        <v>25.0704</v>
      </c>
      <c r="M27" s="19" t="n">
        <f aca="false">SUM(M19:M26)</f>
        <v>-26.337311999999</v>
      </c>
      <c r="N27" s="20" t="n">
        <f aca="false">SUM(N19:N26)</f>
        <v>1695.40273152</v>
      </c>
    </row>
    <row r="28" customFormat="false" ht="12.75" hidden="false" customHeight="false" outlineLevel="0" collapsed="false">
      <c r="A28" s="54" t="n">
        <v>164</v>
      </c>
      <c r="B28" s="54" t="n">
        <v>62</v>
      </c>
      <c r="C28" s="54" t="n">
        <v>166</v>
      </c>
      <c r="D28" s="54" t="n">
        <v>60</v>
      </c>
      <c r="F28" s="15" t="s">
        <v>42</v>
      </c>
      <c r="G28" s="57" t="n">
        <f aca="false">L27</f>
        <v>25.0704</v>
      </c>
      <c r="H28" s="15" t="s">
        <v>43</v>
      </c>
      <c r="I28" s="4" t="n">
        <f aca="false">M27</f>
        <v>-26.337311999999</v>
      </c>
      <c r="J28" s="15" t="s">
        <v>44</v>
      </c>
      <c r="K28" s="18" t="n">
        <f aca="false">N27</f>
        <v>1695.40273152</v>
      </c>
      <c r="L28" s="0" t="s">
        <v>106</v>
      </c>
    </row>
    <row r="29" customFormat="false" ht="12.75" hidden="false" customHeight="false" outlineLevel="0" collapsed="false">
      <c r="A29" s="54" t="n">
        <v>167</v>
      </c>
      <c r="B29" s="54" t="n">
        <v>61</v>
      </c>
      <c r="C29" s="54" t="n">
        <v>166</v>
      </c>
      <c r="D29" s="54" t="n">
        <v>60</v>
      </c>
      <c r="F29" s="0" t="s">
        <v>45</v>
      </c>
      <c r="G29" s="7" t="n">
        <f aca="false">G28</f>
        <v>25.0704</v>
      </c>
      <c r="H29" s="0" t="s">
        <v>46</v>
      </c>
    </row>
    <row r="30" customFormat="false" ht="12.75" hidden="false" customHeight="false" outlineLevel="0" collapsed="false">
      <c r="A30" s="54" t="n">
        <v>176</v>
      </c>
      <c r="B30" s="54" t="n">
        <v>77</v>
      </c>
      <c r="C30" s="54" t="n">
        <v>166</v>
      </c>
      <c r="D30" s="54" t="n">
        <v>60</v>
      </c>
      <c r="F30" s="0" t="s">
        <v>47</v>
      </c>
      <c r="G30" s="57" t="n">
        <f aca="false">SQRT(G29)</f>
        <v>5.00703505080602</v>
      </c>
      <c r="H30" s="0" t="s">
        <v>48</v>
      </c>
      <c r="J30" s="7" t="n">
        <f aca="false">100/99*G29</f>
        <v>25.3236363636364</v>
      </c>
      <c r="K30" s="0" t="s">
        <v>49</v>
      </c>
      <c r="L30" s="7" t="n">
        <f aca="false">J30^0.5</f>
        <v>5.03225956838838</v>
      </c>
    </row>
    <row r="31" customFormat="false" ht="12.75" hidden="false" customHeight="false" outlineLevel="0" collapsed="false">
      <c r="A31" s="54" t="n">
        <v>165</v>
      </c>
      <c r="B31" s="54" t="n">
        <v>55</v>
      </c>
      <c r="C31" s="54" t="n">
        <v>166</v>
      </c>
      <c r="D31" s="54" t="n">
        <v>60</v>
      </c>
      <c r="F31" s="0" t="s">
        <v>50</v>
      </c>
      <c r="G31" s="7" t="n">
        <f aca="false">I28/(G30^3)</f>
        <v>-0.209811628059585</v>
      </c>
      <c r="J31" s="0" t="s">
        <v>51</v>
      </c>
      <c r="K31" s="0" t="n">
        <v>1.96</v>
      </c>
    </row>
    <row r="32" customFormat="false" ht="12.75" hidden="false" customHeight="false" outlineLevel="0" collapsed="false">
      <c r="A32" s="54" t="n">
        <v>166</v>
      </c>
      <c r="B32" s="54" t="n">
        <v>61</v>
      </c>
      <c r="C32" s="54" t="n">
        <v>167</v>
      </c>
      <c r="D32" s="54" t="n">
        <v>61</v>
      </c>
      <c r="F32" s="0" t="s">
        <v>52</v>
      </c>
      <c r="G32" s="7" t="n">
        <f aca="false">K28/(G30^4)-3</f>
        <v>-0.30256895147309</v>
      </c>
      <c r="I32" s="0" t="s">
        <v>14</v>
      </c>
      <c r="J32" s="0" t="s">
        <v>53</v>
      </c>
      <c r="K32" s="7" t="n">
        <f aca="false">L30*K31/10</f>
        <v>0.986322875404122</v>
      </c>
      <c r="L32" s="7" t="n">
        <f aca="false">_xlfn.CONFIDENCE.NORM(0.05,5.655,100)</f>
        <v>1.1083596332574</v>
      </c>
    </row>
    <row r="33" customFormat="false" ht="12.75" hidden="false" customHeight="false" outlineLevel="0" collapsed="false">
      <c r="A33" s="54" t="n">
        <v>175</v>
      </c>
      <c r="B33" s="54" t="n">
        <v>66</v>
      </c>
      <c r="C33" s="54" t="n">
        <v>167</v>
      </c>
      <c r="D33" s="54" t="n">
        <v>61</v>
      </c>
      <c r="E33" s="0" t="s">
        <v>54</v>
      </c>
      <c r="H33" s="0" t="s">
        <v>55</v>
      </c>
      <c r="K33" s="4" t="n">
        <f aca="false">J27-K32</f>
        <v>168.153677124596</v>
      </c>
      <c r="L33" s="0" t="s">
        <v>56</v>
      </c>
      <c r="M33" s="4" t="n">
        <f aca="false">G17+K32</f>
        <v>170.126322875404</v>
      </c>
    </row>
    <row r="34" customFormat="false" ht="12.75" hidden="false" customHeight="false" outlineLevel="0" collapsed="false">
      <c r="A34" s="54" t="n">
        <v>164</v>
      </c>
      <c r="B34" s="54" t="n">
        <v>57</v>
      </c>
      <c r="C34" s="54" t="n">
        <v>167</v>
      </c>
      <c r="D34" s="54" t="n">
        <v>61</v>
      </c>
      <c r="G34" s="0" t="s">
        <v>57</v>
      </c>
      <c r="I34" s="0" t="n">
        <v>0.143</v>
      </c>
      <c r="J34" s="0" t="s">
        <v>58</v>
      </c>
    </row>
    <row r="35" customFormat="false" ht="12.75" hidden="false" customHeight="false" outlineLevel="0" collapsed="false">
      <c r="A35" s="54" t="n">
        <v>171</v>
      </c>
      <c r="B35" s="54" t="n">
        <v>65</v>
      </c>
      <c r="C35" s="54" t="n">
        <v>167</v>
      </c>
      <c r="D35" s="54" t="n">
        <v>61</v>
      </c>
      <c r="I35" s="4" t="n">
        <f aca="false">L30*(1-0.143)</f>
        <v>4.31264645010884</v>
      </c>
      <c r="J35" s="0" t="s">
        <v>59</v>
      </c>
      <c r="K35" s="4" t="n">
        <f aca="false">L30*(1+0.143)</f>
        <v>5.75187268666791</v>
      </c>
    </row>
    <row r="36" customFormat="false" ht="12.9" hidden="false" customHeight="false" outlineLevel="0" collapsed="false">
      <c r="A36" s="54" t="n">
        <v>174</v>
      </c>
      <c r="B36" s="54" t="n">
        <v>79</v>
      </c>
      <c r="C36" s="54" t="n">
        <v>167</v>
      </c>
      <c r="D36" s="54" t="n">
        <v>61</v>
      </c>
      <c r="F36" s="8"/>
      <c r="G36" s="9" t="s">
        <v>16</v>
      </c>
      <c r="H36" s="9" t="s">
        <v>17</v>
      </c>
      <c r="I36" s="2" t="s">
        <v>60</v>
      </c>
      <c r="J36" s="2" t="s">
        <v>61</v>
      </c>
      <c r="K36" s="2" t="s">
        <v>62</v>
      </c>
      <c r="L36" s="2" t="s">
        <v>63</v>
      </c>
      <c r="M36" s="2" t="s">
        <v>64</v>
      </c>
      <c r="N36" s="2" t="s">
        <v>65</v>
      </c>
      <c r="O36" s="22" t="s">
        <v>34</v>
      </c>
      <c r="P36" s="2" t="s">
        <v>63</v>
      </c>
    </row>
    <row r="37" customFormat="false" ht="13.8" hidden="false" customHeight="false" outlineLevel="0" collapsed="false">
      <c r="A37" s="54" t="n">
        <v>167</v>
      </c>
      <c r="B37" s="54" t="n">
        <v>71</v>
      </c>
      <c r="C37" s="54" t="n">
        <v>167</v>
      </c>
      <c r="D37" s="54" t="n">
        <v>61</v>
      </c>
      <c r="F37" s="8" t="n">
        <v>1</v>
      </c>
      <c r="G37" s="11" t="n">
        <f aca="false">G7</f>
        <v>156</v>
      </c>
      <c r="H37" s="11" t="n">
        <f aca="false">G37+$G$4</f>
        <v>159</v>
      </c>
      <c r="I37" s="58" t="s">
        <v>122</v>
      </c>
      <c r="J37" s="27" t="n">
        <f aca="false">(H37-$J$27)/$G$30</f>
        <v>-2.02515059253833</v>
      </c>
      <c r="K37" s="27" t="n">
        <v>-0.5</v>
      </c>
      <c r="L37" s="27" t="n">
        <f aca="false">P37</f>
        <v>-0.478574048391384</v>
      </c>
      <c r="M37" s="27" t="n">
        <f aca="false">L37-K37</f>
        <v>0.0214259516086161</v>
      </c>
      <c r="N37" s="27" t="n">
        <f aca="false">100*M37</f>
        <v>2.14259516086161</v>
      </c>
      <c r="O37" s="59" t="n">
        <f aca="false">L7</f>
        <v>0.04</v>
      </c>
      <c r="P37" s="60" t="n">
        <f aca="false">_xlfn.NORM.DIST(J37,0,1,1)-0.5</f>
        <v>-0.478574048391384</v>
      </c>
    </row>
    <row r="38" customFormat="false" ht="12.75" hidden="false" customHeight="false" outlineLevel="0" collapsed="false">
      <c r="A38" s="54" t="n">
        <v>169</v>
      </c>
      <c r="B38" s="54" t="n">
        <v>59</v>
      </c>
      <c r="C38" s="54" t="n">
        <v>167</v>
      </c>
      <c r="D38" s="54" t="n">
        <v>62</v>
      </c>
      <c r="F38" s="8" t="n">
        <v>2</v>
      </c>
      <c r="G38" s="11" t="n">
        <f aca="false">H37</f>
        <v>159</v>
      </c>
      <c r="H38" s="11" t="n">
        <f aca="false">G38+$G$4</f>
        <v>162</v>
      </c>
      <c r="I38" s="11" t="n">
        <f aca="false">(G38-$J$27)/$G$30</f>
        <v>-2.02515059253833</v>
      </c>
      <c r="J38" s="27" t="n">
        <f aca="false">(H38-$J$27)/$G$30</f>
        <v>-1.4259936124974</v>
      </c>
      <c r="K38" s="27" t="n">
        <f aca="false">L37</f>
        <v>-0.478574048391384</v>
      </c>
      <c r="L38" s="27" t="n">
        <f aca="false">P38</f>
        <v>-0.423064907081002</v>
      </c>
      <c r="M38" s="27" t="n">
        <f aca="false">L38-K38</f>
        <v>0.0555091413103818</v>
      </c>
      <c r="N38" s="27" t="n">
        <f aca="false">100*M38</f>
        <v>5.55091413103818</v>
      </c>
      <c r="O38" s="59" t="n">
        <f aca="false">L8</f>
        <v>0.03</v>
      </c>
      <c r="P38" s="60" t="n">
        <f aca="false">_xlfn.NORM.DIST(J38,0,1,1)-0.5</f>
        <v>-0.423064907081002</v>
      </c>
    </row>
    <row r="39" customFormat="false" ht="12.75" hidden="false" customHeight="false" outlineLevel="0" collapsed="false">
      <c r="A39" s="54" t="n">
        <v>162</v>
      </c>
      <c r="B39" s="54" t="n">
        <v>52</v>
      </c>
      <c r="C39" s="54" t="n">
        <v>167</v>
      </c>
      <c r="D39" s="54" t="n">
        <v>62</v>
      </c>
      <c r="F39" s="8" t="n">
        <v>3</v>
      </c>
      <c r="G39" s="11" t="n">
        <f aca="false">H38</f>
        <v>162</v>
      </c>
      <c r="H39" s="11" t="n">
        <f aca="false">G39+$G$4</f>
        <v>165</v>
      </c>
      <c r="I39" s="11" t="n">
        <f aca="false">(G39-$J$27)/$G$30</f>
        <v>-1.4259936124974</v>
      </c>
      <c r="J39" s="27" t="n">
        <f aca="false">(H39-$J$27)/$G$30</f>
        <v>-0.826836632456476</v>
      </c>
      <c r="K39" s="27" t="n">
        <f aca="false">L38</f>
        <v>-0.423064907081002</v>
      </c>
      <c r="L39" s="27" t="n">
        <f aca="false">P39</f>
        <v>-0.295835168098009</v>
      </c>
      <c r="M39" s="27" t="n">
        <f aca="false">L39-K39</f>
        <v>0.127229738982993</v>
      </c>
      <c r="N39" s="27" t="n">
        <f aca="false">100*M39</f>
        <v>12.7229738982993</v>
      </c>
      <c r="O39" s="59" t="n">
        <f aca="false">L9</f>
        <v>0.13</v>
      </c>
      <c r="P39" s="60" t="n">
        <f aca="false">_xlfn.NORM.DIST(J39,0,1,1)-0.5</f>
        <v>-0.295835168098009</v>
      </c>
    </row>
    <row r="40" customFormat="false" ht="12.75" hidden="false" customHeight="false" outlineLevel="0" collapsed="false">
      <c r="A40" s="54" t="n">
        <v>169</v>
      </c>
      <c r="B40" s="54" t="n">
        <v>68</v>
      </c>
      <c r="C40" s="54" t="n">
        <v>167</v>
      </c>
      <c r="D40" s="54" t="n">
        <v>62</v>
      </c>
      <c r="F40" s="8" t="n">
        <v>4</v>
      </c>
      <c r="G40" s="11" t="n">
        <f aca="false">H39</f>
        <v>165</v>
      </c>
      <c r="H40" s="11" t="n">
        <f aca="false">G40+$G$4</f>
        <v>168</v>
      </c>
      <c r="I40" s="11" t="n">
        <f aca="false">(G40-$J$27)/$G$30</f>
        <v>-0.826836632456476</v>
      </c>
      <c r="J40" s="27" t="n">
        <f aca="false">(H40-$J$27)/$G$30</f>
        <v>-0.227679652415549</v>
      </c>
      <c r="K40" s="27" t="n">
        <f aca="false">L39</f>
        <v>-0.295835168098009</v>
      </c>
      <c r="L40" s="27" t="n">
        <f aca="false">P40</f>
        <v>-0.0900523539821327</v>
      </c>
      <c r="M40" s="27" t="n">
        <f aca="false">L40-K40</f>
        <v>0.205782814115877</v>
      </c>
      <c r="N40" s="27" t="n">
        <f aca="false">100*M40</f>
        <v>20.5782814115877</v>
      </c>
      <c r="O40" s="59" t="n">
        <f aca="false">L10</f>
        <v>0.21</v>
      </c>
      <c r="P40" s="60" t="n">
        <f aca="false">_xlfn.NORM.DIST(J40,0,1,1)-0.5</f>
        <v>-0.0900523539821327</v>
      </c>
    </row>
    <row r="41" customFormat="false" ht="12.75" hidden="false" customHeight="false" outlineLevel="0" collapsed="false">
      <c r="A41" s="54" t="n">
        <v>173</v>
      </c>
      <c r="B41" s="54" t="n">
        <v>66</v>
      </c>
      <c r="C41" s="54" t="n">
        <v>167</v>
      </c>
      <c r="D41" s="54" t="n">
        <v>62</v>
      </c>
      <c r="F41" s="8" t="n">
        <v>5</v>
      </c>
      <c r="G41" s="11" t="n">
        <f aca="false">H40</f>
        <v>168</v>
      </c>
      <c r="H41" s="11" t="n">
        <f aca="false">G41+$G$4</f>
        <v>171</v>
      </c>
      <c r="I41" s="11" t="n">
        <f aca="false">(G41-$J$27)/$G$30</f>
        <v>-0.227679652415549</v>
      </c>
      <c r="J41" s="27" t="n">
        <f aca="false">(H41-$J$27)/$G$30</f>
        <v>0.371477327625377</v>
      </c>
      <c r="K41" s="27" t="n">
        <f aca="false">L40</f>
        <v>-0.0900523539821327</v>
      </c>
      <c r="L41" s="27" t="n">
        <f aca="false">P41</f>
        <v>0.144858980130966</v>
      </c>
      <c r="M41" s="27" t="n">
        <f aca="false">L41-K41</f>
        <v>0.234911334113099</v>
      </c>
      <c r="N41" s="27" t="n">
        <f aca="false">100*M41</f>
        <v>23.4911334113099</v>
      </c>
      <c r="O41" s="59" t="n">
        <f aca="false">L11</f>
        <v>0.21</v>
      </c>
      <c r="P41" s="60" t="n">
        <f aca="false">_xlfn.NORM.DIST(J41,0,1,1)-0.5</f>
        <v>0.144858980130966</v>
      </c>
    </row>
    <row r="42" customFormat="false" ht="12.75" hidden="false" customHeight="false" outlineLevel="0" collapsed="false">
      <c r="A42" s="54" t="n">
        <v>172</v>
      </c>
      <c r="B42" s="54" t="n">
        <v>66</v>
      </c>
      <c r="C42" s="54" t="n">
        <v>167</v>
      </c>
      <c r="D42" s="54" t="n">
        <v>63</v>
      </c>
      <c r="F42" s="8" t="n">
        <v>6</v>
      </c>
      <c r="G42" s="11" t="n">
        <f aca="false">H41</f>
        <v>171</v>
      </c>
      <c r="H42" s="11" t="n">
        <f aca="false">G42+$G$4</f>
        <v>174</v>
      </c>
      <c r="I42" s="11" t="n">
        <f aca="false">(G42-$J$27)/$G$30</f>
        <v>0.371477327625377</v>
      </c>
      <c r="J42" s="27" t="n">
        <f aca="false">(H42-$J$27)/$G$30</f>
        <v>0.970634307666304</v>
      </c>
      <c r="K42" s="27" t="n">
        <f aca="false">L41</f>
        <v>0.144858980130966</v>
      </c>
      <c r="L42" s="27" t="n">
        <f aca="false">P42</f>
        <v>0.334134792312708</v>
      </c>
      <c r="M42" s="27" t="n">
        <f aca="false">L42-K42</f>
        <v>0.189275812181742</v>
      </c>
      <c r="N42" s="27" t="n">
        <f aca="false">100*M42</f>
        <v>18.9275812181742</v>
      </c>
      <c r="O42" s="59" t="n">
        <f aca="false">L12</f>
        <v>0.22</v>
      </c>
      <c r="P42" s="60" t="n">
        <f aca="false">_xlfn.NORM.DIST(J42,0,1,1)-0.5</f>
        <v>0.334134792312708</v>
      </c>
    </row>
    <row r="43" customFormat="false" ht="12.75" hidden="false" customHeight="false" outlineLevel="0" collapsed="false">
      <c r="A43" s="54" t="n">
        <v>164</v>
      </c>
      <c r="B43" s="54" t="n">
        <v>60</v>
      </c>
      <c r="C43" s="54" t="n">
        <v>168</v>
      </c>
      <c r="D43" s="54" t="n">
        <v>63</v>
      </c>
      <c r="F43" s="8" t="n">
        <v>7</v>
      </c>
      <c r="G43" s="11" t="n">
        <f aca="false">H42</f>
        <v>174</v>
      </c>
      <c r="H43" s="11" t="n">
        <f aca="false">G43+$G$4</f>
        <v>177</v>
      </c>
      <c r="I43" s="11" t="n">
        <f aca="false">(G43-$J$27)/$G$30</f>
        <v>0.970634307666304</v>
      </c>
      <c r="J43" s="27" t="n">
        <f aca="false">(H43-$J$27)/$G$30</f>
        <v>1.56979128770723</v>
      </c>
      <c r="K43" s="27" t="n">
        <f aca="false">L42</f>
        <v>0.334134792312708</v>
      </c>
      <c r="L43" s="27" t="n">
        <f aca="false">P43</f>
        <v>0.441768162442014</v>
      </c>
      <c r="M43" s="27" t="n">
        <f aca="false">L43-K43</f>
        <v>0.107633370129306</v>
      </c>
      <c r="N43" s="27" t="n">
        <f aca="false">100*M43</f>
        <v>10.7633370129306</v>
      </c>
      <c r="O43" s="59" t="n">
        <f aca="false">L13</f>
        <v>0.1</v>
      </c>
      <c r="P43" s="60" t="n">
        <f aca="false">_xlfn.NORM.DIST(J43,0,1,1)-0.5</f>
        <v>0.441768162442014</v>
      </c>
    </row>
    <row r="44" customFormat="false" ht="13.8" hidden="false" customHeight="false" outlineLevel="0" collapsed="false">
      <c r="A44" s="54" t="n">
        <v>170</v>
      </c>
      <c r="B44" s="54" t="n">
        <v>63</v>
      </c>
      <c r="C44" s="54" t="n">
        <v>168</v>
      </c>
      <c r="D44" s="54" t="n">
        <v>63</v>
      </c>
      <c r="F44" s="8" t="n">
        <v>8</v>
      </c>
      <c r="G44" s="11" t="n">
        <f aca="false">H43</f>
        <v>177</v>
      </c>
      <c r="H44" s="11" t="n">
        <f aca="false">G44+$G$4</f>
        <v>180</v>
      </c>
      <c r="I44" s="11" t="n">
        <f aca="false">(G44-$J$27)/$G$30</f>
        <v>1.56979128770723</v>
      </c>
      <c r="J44" s="61" t="s">
        <v>123</v>
      </c>
      <c r="K44" s="27" t="n">
        <f aca="false">L43</f>
        <v>0.441768162442014</v>
      </c>
      <c r="L44" s="27" t="n">
        <v>0.5</v>
      </c>
      <c r="M44" s="27" t="n">
        <f aca="false">L44-K44</f>
        <v>0.0582318375579858</v>
      </c>
      <c r="N44" s="27" t="n">
        <f aca="false">100*M44</f>
        <v>5.82318375579858</v>
      </c>
      <c r="O44" s="59" t="n">
        <f aca="false">L14</f>
        <v>0.06</v>
      </c>
      <c r="P44" s="60" t="s">
        <v>123</v>
      </c>
    </row>
    <row r="45" customFormat="false" ht="12.75" hidden="false" customHeight="false" outlineLevel="0" collapsed="false">
      <c r="A45" s="54" t="n">
        <v>167</v>
      </c>
      <c r="B45" s="54" t="n">
        <v>65</v>
      </c>
      <c r="C45" s="54" t="n">
        <v>168</v>
      </c>
      <c r="D45" s="54" t="n">
        <v>63</v>
      </c>
      <c r="M45" s="23" t="n">
        <f aca="false">SUM(M37:M44)</f>
        <v>1</v>
      </c>
      <c r="N45" s="11" t="n">
        <f aca="false">SUM(N37:N44)</f>
        <v>100</v>
      </c>
    </row>
    <row r="46" customFormat="false" ht="12.75" hidden="false" customHeight="false" outlineLevel="0" collapsed="false">
      <c r="A46" s="54" t="n">
        <v>166</v>
      </c>
      <c r="B46" s="54" t="n">
        <v>55</v>
      </c>
      <c r="C46" s="54" t="n">
        <v>168</v>
      </c>
      <c r="D46" s="54" t="n">
        <v>63</v>
      </c>
    </row>
    <row r="47" customFormat="false" ht="12.75" hidden="false" customHeight="true" outlineLevel="0" collapsed="false">
      <c r="A47" s="54" t="n">
        <v>156</v>
      </c>
      <c r="B47" s="54" t="n">
        <v>54</v>
      </c>
      <c r="C47" s="54" t="n">
        <v>168</v>
      </c>
      <c r="D47" s="54" t="n">
        <v>63</v>
      </c>
      <c r="F47" s="2" t="s">
        <v>67</v>
      </c>
      <c r="G47" s="24" t="s">
        <v>16</v>
      </c>
      <c r="H47" s="9" t="s">
        <v>17</v>
      </c>
      <c r="I47" s="9" t="s">
        <v>18</v>
      </c>
      <c r="J47" s="25" t="s">
        <v>68</v>
      </c>
      <c r="K47" s="2" t="s">
        <v>65</v>
      </c>
      <c r="L47" s="26" t="s">
        <v>65</v>
      </c>
      <c r="M47" s="26" t="s">
        <v>69</v>
      </c>
      <c r="N47" s="2" t="s">
        <v>70</v>
      </c>
      <c r="O47" s="0" t="s">
        <v>71</v>
      </c>
      <c r="P47" s="2"/>
    </row>
    <row r="48" customFormat="false" ht="12.75" hidden="false" customHeight="false" outlineLevel="0" collapsed="false">
      <c r="A48" s="54" t="n">
        <v>166</v>
      </c>
      <c r="B48" s="54" t="n">
        <v>55</v>
      </c>
      <c r="C48" s="54" t="n">
        <v>168</v>
      </c>
      <c r="D48" s="54" t="n">
        <v>63</v>
      </c>
      <c r="F48" s="27" t="n">
        <f aca="false">M37/$J$27</f>
        <v>0.000126675840183375</v>
      </c>
      <c r="G48" s="11" t="n">
        <f aca="false">G37</f>
        <v>156</v>
      </c>
      <c r="H48" s="11" t="n">
        <f aca="false">H37</f>
        <v>159</v>
      </c>
      <c r="I48" s="62" t="n">
        <f aca="false">I7</f>
        <v>4</v>
      </c>
      <c r="J48" s="28"/>
      <c r="K48" s="7" t="n">
        <f aca="false">N37</f>
        <v>2.14259516086161</v>
      </c>
      <c r="L48" s="29"/>
      <c r="M48" s="29"/>
      <c r="N48" s="7"/>
      <c r="P48" s="2" t="n">
        <v>1</v>
      </c>
    </row>
    <row r="49" customFormat="false" ht="12.75" hidden="false" customHeight="false" outlineLevel="0" collapsed="false">
      <c r="A49" s="54" t="n">
        <v>156</v>
      </c>
      <c r="B49" s="54" t="n">
        <v>54</v>
      </c>
      <c r="C49" s="54" t="n">
        <v>168</v>
      </c>
      <c r="D49" s="54" t="n">
        <v>63</v>
      </c>
      <c r="F49" s="27" t="n">
        <f aca="false">M38/$J$27</f>
        <v>0.000328184588567942</v>
      </c>
      <c r="G49" s="11" t="n">
        <f aca="false">G38</f>
        <v>159</v>
      </c>
      <c r="H49" s="11" t="n">
        <f aca="false">H38</f>
        <v>162</v>
      </c>
      <c r="I49" s="13" t="n">
        <f aca="false">I8</f>
        <v>3</v>
      </c>
      <c r="J49" s="28" t="n">
        <f aca="false">I48+I49</f>
        <v>7</v>
      </c>
      <c r="K49" s="7" t="n">
        <f aca="false">N38</f>
        <v>5.55091413103818</v>
      </c>
      <c r="L49" s="63" t="n">
        <f aca="false">K49+K48</f>
        <v>7.69350929189979</v>
      </c>
      <c r="M49" s="63" t="n">
        <f aca="false">J49-L49</f>
        <v>-0.693509291899787</v>
      </c>
      <c r="N49" s="7" t="n">
        <f aca="false">M49*M49/L49</f>
        <v>0.0625144026871747</v>
      </c>
      <c r="O49" s="7" t="n">
        <f aca="false">J49*J49/L49</f>
        <v>6.36900511078739</v>
      </c>
      <c r="P49" s="2" t="n">
        <v>2</v>
      </c>
    </row>
    <row r="50" customFormat="false" ht="12.75" hidden="false" customHeight="false" outlineLevel="0" collapsed="false">
      <c r="A50" s="54" t="n">
        <v>169</v>
      </c>
      <c r="B50" s="54" t="n">
        <v>57</v>
      </c>
      <c r="C50" s="54" t="n">
        <v>169</v>
      </c>
      <c r="D50" s="54" t="n">
        <v>64</v>
      </c>
      <c r="F50" s="27" t="n">
        <f aca="false">M39/$J$27</f>
        <v>0.000752215555060855</v>
      </c>
      <c r="G50" s="11" t="n">
        <f aca="false">G39</f>
        <v>162</v>
      </c>
      <c r="H50" s="11" t="n">
        <f aca="false">H39</f>
        <v>165</v>
      </c>
      <c r="I50" s="13" t="n">
        <f aca="false">I9</f>
        <v>13</v>
      </c>
      <c r="J50" s="28" t="n">
        <f aca="false">I50</f>
        <v>13</v>
      </c>
      <c r="K50" s="7" t="n">
        <f aca="false">N39</f>
        <v>12.7229738982993</v>
      </c>
      <c r="L50" s="63" t="n">
        <f aca="false">K50</f>
        <v>12.7229738982993</v>
      </c>
      <c r="M50" s="63" t="n">
        <f aca="false">J50-L50</f>
        <v>0.277026101700706</v>
      </c>
      <c r="N50" s="7" t="n">
        <f aca="false">M50*M50/L50</f>
        <v>0.00603188072513049</v>
      </c>
      <c r="O50" s="7" t="n">
        <f aca="false">J50*J50/L50</f>
        <v>13.2830579824258</v>
      </c>
      <c r="P50" s="2" t="n">
        <v>3</v>
      </c>
    </row>
    <row r="51" customFormat="false" ht="12.75" hidden="false" customHeight="false" outlineLevel="0" collapsed="false">
      <c r="A51" s="54" t="n">
        <v>165</v>
      </c>
      <c r="B51" s="54" t="n">
        <v>55</v>
      </c>
      <c r="C51" s="54" t="n">
        <v>169</v>
      </c>
      <c r="D51" s="54" t="n">
        <v>64</v>
      </c>
      <c r="F51" s="27" t="n">
        <f aca="false">M40/$J$27</f>
        <v>0.0012166419186229</v>
      </c>
      <c r="G51" s="11" t="n">
        <f aca="false">G40</f>
        <v>165</v>
      </c>
      <c r="H51" s="11" t="n">
        <f aca="false">H40</f>
        <v>168</v>
      </c>
      <c r="I51" s="13" t="n">
        <f aca="false">I10</f>
        <v>21</v>
      </c>
      <c r="J51" s="28" t="n">
        <f aca="false">I51</f>
        <v>21</v>
      </c>
      <c r="K51" s="7" t="n">
        <f aca="false">N40</f>
        <v>20.5782814115877</v>
      </c>
      <c r="L51" s="63" t="n">
        <f aca="false">K51</f>
        <v>20.5782814115877</v>
      </c>
      <c r="M51" s="63" t="n">
        <f aca="false">J51-L51</f>
        <v>0.42171858841235</v>
      </c>
      <c r="N51" s="7" t="n">
        <f aca="false">M51*M51/L51</f>
        <v>0.00864244026288608</v>
      </c>
      <c r="O51" s="7" t="n">
        <f aca="false">J51*J51/L51</f>
        <v>21.4303610286752</v>
      </c>
      <c r="P51" s="2" t="n">
        <v>4</v>
      </c>
    </row>
    <row r="52" customFormat="false" ht="12.75" hidden="false" customHeight="false" outlineLevel="0" collapsed="false">
      <c r="A52" s="54" t="n">
        <v>172</v>
      </c>
      <c r="B52" s="54" t="n">
        <v>78</v>
      </c>
      <c r="C52" s="54" t="n">
        <v>169</v>
      </c>
      <c r="D52" s="54" t="n">
        <v>64</v>
      </c>
      <c r="F52" s="27" t="n">
        <f aca="false">M41/$J$27</f>
        <v>0.0013888573614349</v>
      </c>
      <c r="G52" s="11" t="n">
        <f aca="false">G41</f>
        <v>168</v>
      </c>
      <c r="H52" s="11" t="n">
        <f aca="false">H41</f>
        <v>171</v>
      </c>
      <c r="I52" s="13" t="n">
        <f aca="false">I11</f>
        <v>21</v>
      </c>
      <c r="J52" s="28" t="n">
        <f aca="false">I52</f>
        <v>21</v>
      </c>
      <c r="K52" s="7" t="n">
        <f aca="false">N41</f>
        <v>23.4911334113099</v>
      </c>
      <c r="L52" s="63" t="n">
        <f aca="false">K52</f>
        <v>23.4911334113099</v>
      </c>
      <c r="M52" s="63" t="n">
        <f aca="false">J52-L52</f>
        <v>-2.49113341130987</v>
      </c>
      <c r="N52" s="7" t="n">
        <f aca="false">M52*M52/L52</f>
        <v>0.264173957224072</v>
      </c>
      <c r="O52" s="7" t="n">
        <f aca="false">J52*J52/L52</f>
        <v>18.7730405459142</v>
      </c>
      <c r="P52" s="2" t="n">
        <v>5</v>
      </c>
    </row>
    <row r="53" customFormat="false" ht="12.75" hidden="false" customHeight="false" outlineLevel="0" collapsed="false">
      <c r="A53" s="54" t="n">
        <v>178</v>
      </c>
      <c r="B53" s="54" t="n">
        <v>60</v>
      </c>
      <c r="C53" s="54" t="n">
        <v>169</v>
      </c>
      <c r="D53" s="54" t="n">
        <v>65</v>
      </c>
      <c r="E53" s="0" t="s">
        <v>72</v>
      </c>
      <c r="F53" s="27" t="n">
        <f aca="false">M42/$J$27</f>
        <v>0.00111904819783459</v>
      </c>
      <c r="G53" s="11" t="n">
        <f aca="false">G42</f>
        <v>171</v>
      </c>
      <c r="H53" s="11" t="n">
        <f aca="false">H42</f>
        <v>174</v>
      </c>
      <c r="I53" s="13" t="n">
        <f aca="false">I12</f>
        <v>22</v>
      </c>
      <c r="J53" s="28" t="n">
        <f aca="false">I53</f>
        <v>22</v>
      </c>
      <c r="K53" s="7" t="n">
        <f aca="false">N42</f>
        <v>18.9275812181742</v>
      </c>
      <c r="L53" s="64" t="n">
        <f aca="false">K53</f>
        <v>18.9275812181742</v>
      </c>
      <c r="M53" s="63" t="n">
        <f aca="false">J53-L53</f>
        <v>3.07241878182582</v>
      </c>
      <c r="N53" s="7" t="n">
        <f aca="false">M53*M53/L53</f>
        <v>0.498730242501986</v>
      </c>
      <c r="O53" s="7" t="n">
        <f aca="false">J53*J53/L53</f>
        <v>25.5711490243278</v>
      </c>
      <c r="P53" s="2" t="n">
        <v>6</v>
      </c>
    </row>
    <row r="54" customFormat="false" ht="12.75" hidden="false" customHeight="false" outlineLevel="0" collapsed="false">
      <c r="A54" s="54" t="n">
        <v>170</v>
      </c>
      <c r="B54" s="54" t="n">
        <v>63</v>
      </c>
      <c r="C54" s="54" t="n">
        <v>169</v>
      </c>
      <c r="D54" s="54" t="n">
        <v>65</v>
      </c>
      <c r="F54" s="27" t="n">
        <f aca="false">M43/$J$27</f>
        <v>0.000636356687532851</v>
      </c>
      <c r="G54" s="11" t="n">
        <f aca="false">G43</f>
        <v>174</v>
      </c>
      <c r="H54" s="11" t="n">
        <f aca="false">H43</f>
        <v>177</v>
      </c>
      <c r="I54" s="62" t="n">
        <f aca="false">I13</f>
        <v>10</v>
      </c>
      <c r="J54" s="28" t="n">
        <f aca="false">I54+I55</f>
        <v>16</v>
      </c>
      <c r="K54" s="7" t="n">
        <f aca="false">N43</f>
        <v>10.7633370129306</v>
      </c>
      <c r="L54" s="64" t="n">
        <f aca="false">K54+K55</f>
        <v>16.5865207687292</v>
      </c>
      <c r="M54" s="63" t="n">
        <f aca="false">J54-L54</f>
        <v>-0.586520768729219</v>
      </c>
      <c r="N54" s="7" t="n">
        <f aca="false">M54*M54/L54</f>
        <v>0.0207401309139693</v>
      </c>
      <c r="O54" s="7" t="n">
        <f aca="false">J54*J54/L54</f>
        <v>15.4342193621848</v>
      </c>
      <c r="P54" s="2" t="n">
        <v>7</v>
      </c>
    </row>
    <row r="55" customFormat="false" ht="12.75" hidden="false" customHeight="false" outlineLevel="0" collapsed="false">
      <c r="A55" s="54" t="n">
        <v>167</v>
      </c>
      <c r="B55" s="54" t="n">
        <v>61</v>
      </c>
      <c r="C55" s="54" t="n">
        <v>169</v>
      </c>
      <c r="D55" s="54" t="n">
        <v>65</v>
      </c>
      <c r="F55" s="27" t="n">
        <f aca="false">M44/$J$27</f>
        <v>0.000344281882215832</v>
      </c>
      <c r="G55" s="11" t="n">
        <f aca="false">G44</f>
        <v>177</v>
      </c>
      <c r="H55" s="11" t="n">
        <f aca="false">H44</f>
        <v>180</v>
      </c>
      <c r="I55" s="62" t="n">
        <f aca="false">I14</f>
        <v>6</v>
      </c>
      <c r="J55" s="28"/>
      <c r="K55" s="7" t="n">
        <f aca="false">N44</f>
        <v>5.82318375579858</v>
      </c>
      <c r="L55" s="29"/>
      <c r="M55" s="29"/>
      <c r="N55" s="7"/>
      <c r="P55" s="2" t="n">
        <v>8</v>
      </c>
    </row>
    <row r="56" customFormat="false" ht="12.75" hidden="false" customHeight="false" outlineLevel="0" collapsed="false">
      <c r="A56" s="54" t="n">
        <v>166</v>
      </c>
      <c r="B56" s="54" t="n">
        <v>62</v>
      </c>
      <c r="C56" s="54" t="n">
        <v>170</v>
      </c>
      <c r="D56" s="54" t="n">
        <v>65</v>
      </c>
      <c r="J56" s="13" t="n">
        <f aca="false">SUM(J48:J55)</f>
        <v>100</v>
      </c>
      <c r="K56" s="13" t="n">
        <f aca="false">SUM(K48:K55)</f>
        <v>100</v>
      </c>
      <c r="L56" s="7" t="n">
        <f aca="false">SUM(L48:L54)</f>
        <v>100</v>
      </c>
      <c r="M56" s="0" t="s">
        <v>124</v>
      </c>
      <c r="N56" s="7" t="n">
        <f aca="false">SUM(N48:N55)</f>
        <v>0.860833054315218</v>
      </c>
      <c r="O56" s="7" t="n">
        <f aca="false">SUM(O48:O55)</f>
        <v>100.860833054315</v>
      </c>
    </row>
    <row r="57" customFormat="false" ht="12.75" hidden="false" customHeight="false" outlineLevel="0" collapsed="false">
      <c r="A57" s="54" t="n">
        <v>163</v>
      </c>
      <c r="B57" s="54" t="n">
        <v>60</v>
      </c>
      <c r="C57" s="54" t="n">
        <v>170</v>
      </c>
      <c r="D57" s="54" t="n">
        <v>65</v>
      </c>
      <c r="K57" s="0" t="s">
        <v>74</v>
      </c>
      <c r="L57" s="0" t="s">
        <v>75</v>
      </c>
      <c r="M57" s="0" t="n">
        <f aca="false">G30/SQRT(100)</f>
        <v>0.500703505080602</v>
      </c>
      <c r="O57" s="7" t="n">
        <f aca="false">O56-100</f>
        <v>0.860833054315208</v>
      </c>
    </row>
    <row r="58" customFormat="false" ht="12.75" hidden="false" customHeight="false" outlineLevel="0" collapsed="false">
      <c r="A58" s="54" t="n">
        <v>157</v>
      </c>
      <c r="B58" s="54" t="n">
        <v>60</v>
      </c>
      <c r="C58" s="54" t="n">
        <v>170</v>
      </c>
      <c r="D58" s="54" t="n">
        <v>65</v>
      </c>
      <c r="F58" s="4"/>
      <c r="G58" s="7"/>
      <c r="I58" s="4"/>
      <c r="K58" s="0" t="s">
        <v>76</v>
      </c>
      <c r="L58" s="0" t="s">
        <v>77</v>
      </c>
      <c r="M58" s="17" t="n">
        <v>7.8</v>
      </c>
      <c r="N58" s="17" t="n">
        <f aca="false">_xlfn.CHISQ.INV.RT(0.05,3)</f>
        <v>7.81472790325118</v>
      </c>
    </row>
    <row r="59" customFormat="false" ht="12.75" hidden="false" customHeight="false" outlineLevel="0" collapsed="false">
      <c r="A59" s="54" t="n">
        <v>173</v>
      </c>
      <c r="B59" s="54" t="n">
        <v>66</v>
      </c>
      <c r="C59" s="54" t="n">
        <v>170</v>
      </c>
      <c r="D59" s="54" t="n">
        <v>65</v>
      </c>
      <c r="L59" s="0" t="s">
        <v>125</v>
      </c>
    </row>
    <row r="60" customFormat="false" ht="12.75" hidden="false" customHeight="false" outlineLevel="0" collapsed="false">
      <c r="A60" s="54" t="n">
        <v>176</v>
      </c>
      <c r="B60" s="54" t="n">
        <v>65</v>
      </c>
      <c r="C60" s="54" t="n">
        <v>170</v>
      </c>
      <c r="D60" s="54" t="n">
        <v>65</v>
      </c>
      <c r="G60" s="5" t="s">
        <v>78</v>
      </c>
      <c r="H60" s="5"/>
      <c r="I60" s="5"/>
      <c r="J60" s="0" t="s">
        <v>79</v>
      </c>
    </row>
    <row r="61" customFormat="false" ht="12.75" hidden="false" customHeight="false" outlineLevel="0" collapsed="false">
      <c r="A61" s="54" t="n">
        <v>167</v>
      </c>
      <c r="B61" s="54" t="n">
        <v>62</v>
      </c>
      <c r="C61" s="54" t="n">
        <v>170</v>
      </c>
      <c r="D61" s="54" t="n">
        <v>65</v>
      </c>
    </row>
    <row r="62" customFormat="false" ht="12.75" hidden="false" customHeight="false" outlineLevel="0" collapsed="false">
      <c r="A62" s="54" t="n">
        <v>168</v>
      </c>
      <c r="B62" s="54" t="n">
        <v>64</v>
      </c>
      <c r="C62" s="54" t="n">
        <v>170</v>
      </c>
      <c r="D62" s="54" t="n">
        <v>65</v>
      </c>
      <c r="F62" s="0" t="s">
        <v>80</v>
      </c>
      <c r="H62" s="0" t="n">
        <f aca="false">MIN(B2:B101)</f>
        <v>51</v>
      </c>
      <c r="I62" s="0" t="s">
        <v>81</v>
      </c>
      <c r="J62" s="0" t="n">
        <f aca="false">MAX(B2:B101)</f>
        <v>81</v>
      </c>
      <c r="K62" s="0" t="str">
        <f aca="false">F3</f>
        <v>k=</v>
      </c>
      <c r="L62" s="0" t="n">
        <f aca="false">G3</f>
        <v>8</v>
      </c>
      <c r="N62" s="0" t="str">
        <f aca="false">F4</f>
        <v>h=</v>
      </c>
      <c r="O62" s="0" t="n">
        <f aca="false">G63/L62</f>
        <v>3.75</v>
      </c>
    </row>
    <row r="63" customFormat="false" ht="12.75" hidden="false" customHeight="false" outlineLevel="0" collapsed="false">
      <c r="A63" s="54" t="n">
        <v>172</v>
      </c>
      <c r="B63" s="54" t="n">
        <v>70</v>
      </c>
      <c r="C63" s="54" t="n">
        <v>170</v>
      </c>
      <c r="D63" s="54" t="n">
        <v>66</v>
      </c>
      <c r="F63" s="0" t="str">
        <f aca="false">F2</f>
        <v>R</v>
      </c>
      <c r="G63" s="0" t="n">
        <f aca="false">J62-H62</f>
        <v>30</v>
      </c>
      <c r="H63" s="4" t="str">
        <f aca="false">H2</f>
        <v>разброс</v>
      </c>
      <c r="J63" s="0" t="n">
        <f aca="false">(I65+J65)/2</f>
        <v>52.875</v>
      </c>
      <c r="K63" s="0" t="n">
        <f aca="false">(J65+K65)/2</f>
        <v>56.625</v>
      </c>
      <c r="L63" s="0" t="n">
        <f aca="false">(K65+L65)/2</f>
        <v>60.375</v>
      </c>
      <c r="M63" s="0" t="n">
        <f aca="false">(L65+M65)/2</f>
        <v>64.125</v>
      </c>
      <c r="N63" s="0" t="n">
        <f aca="false">(M65+N65)/2</f>
        <v>67.875</v>
      </c>
      <c r="O63" s="0" t="n">
        <f aca="false">(N65+O65)/2</f>
        <v>71.625</v>
      </c>
      <c r="P63" s="0" t="n">
        <f aca="false">(O65+P65)/2</f>
        <v>75.375</v>
      </c>
      <c r="Q63" s="0" t="n">
        <f aca="false">(P65+Q65)/2</f>
        <v>79.125</v>
      </c>
    </row>
    <row r="64" customFormat="false" ht="12.75" hidden="false" customHeight="false" outlineLevel="0" collapsed="false">
      <c r="A64" s="54" t="n">
        <v>168</v>
      </c>
      <c r="B64" s="54" t="n">
        <v>70</v>
      </c>
      <c r="C64" s="54" t="n">
        <v>171</v>
      </c>
      <c r="D64" s="54" t="n">
        <v>66</v>
      </c>
      <c r="H64" s="0" t="s">
        <v>1</v>
      </c>
      <c r="I64" s="2" t="n">
        <v>0</v>
      </c>
      <c r="J64" s="2" t="n">
        <v>1</v>
      </c>
      <c r="K64" s="2" t="n">
        <v>2</v>
      </c>
      <c r="L64" s="2" t="n">
        <v>3</v>
      </c>
      <c r="M64" s="2" t="n">
        <v>4</v>
      </c>
      <c r="N64" s="2" t="n">
        <v>5</v>
      </c>
      <c r="O64" s="2" t="n">
        <v>6</v>
      </c>
      <c r="P64" s="2" t="n">
        <v>7</v>
      </c>
      <c r="Q64" s="2" t="n">
        <v>8</v>
      </c>
    </row>
    <row r="65" customFormat="false" ht="12.75" hidden="false" customHeight="false" outlineLevel="0" collapsed="false">
      <c r="A65" s="54" t="n">
        <v>177</v>
      </c>
      <c r="B65" s="54" t="n">
        <v>70</v>
      </c>
      <c r="C65" s="54" t="n">
        <v>171</v>
      </c>
      <c r="D65" s="54" t="n">
        <v>66</v>
      </c>
      <c r="G65" s="0" t="s">
        <v>0</v>
      </c>
      <c r="I65" s="11" t="n">
        <f aca="false">H62</f>
        <v>51</v>
      </c>
      <c r="J65" s="11" t="n">
        <f aca="false">I65+$O$62</f>
        <v>54.75</v>
      </c>
      <c r="K65" s="11" t="n">
        <f aca="false">J65+$O$62</f>
        <v>58.5</v>
      </c>
      <c r="L65" s="11" t="n">
        <f aca="false">K65+$O$62</f>
        <v>62.25</v>
      </c>
      <c r="M65" s="11" t="n">
        <f aca="false">L65+$O$62</f>
        <v>66</v>
      </c>
      <c r="N65" s="11" t="n">
        <f aca="false">M65+$O$62</f>
        <v>69.75</v>
      </c>
      <c r="O65" s="11" t="n">
        <f aca="false">N65+$O$62</f>
        <v>73.5</v>
      </c>
      <c r="P65" s="11" t="n">
        <f aca="false">O65+$O$62</f>
        <v>77.25</v>
      </c>
      <c r="Q65" s="31" t="n">
        <f aca="false">P65+$O$62</f>
        <v>81</v>
      </c>
    </row>
    <row r="66" customFormat="false" ht="12.75" hidden="false" customHeight="false" outlineLevel="0" collapsed="false">
      <c r="A66" s="54" t="n">
        <v>163</v>
      </c>
      <c r="B66" s="54" t="n">
        <v>68</v>
      </c>
      <c r="C66" s="54" t="n">
        <v>171</v>
      </c>
      <c r="D66" s="54" t="n">
        <v>66</v>
      </c>
      <c r="F66" s="8" t="n">
        <f aca="false">F7</f>
        <v>1</v>
      </c>
      <c r="G66" s="11" t="n">
        <f aca="false">G7</f>
        <v>156</v>
      </c>
      <c r="H66" s="11" t="n">
        <f aca="false">H7</f>
        <v>159</v>
      </c>
      <c r="I66" s="32"/>
      <c r="J66" s="33" t="n">
        <f aca="false">COUNTIF($D$2,"&lt;="&amp;J65)</f>
        <v>1</v>
      </c>
      <c r="K66" s="65" t="n">
        <f aca="false">COUNTIF($D$2,"&lt;="&amp;K65)-J66</f>
        <v>0</v>
      </c>
      <c r="L66" s="66" t="n">
        <f aca="false">COUNTIF($D$2,"&lt;="&amp;L65)-K66-J66</f>
        <v>0</v>
      </c>
      <c r="M66" s="67" t="n">
        <f aca="false">COUNTIF($D$2,"&lt;="&amp;M65)-L66-K66-J66</f>
        <v>0</v>
      </c>
      <c r="N66" s="68" t="n">
        <f aca="false">COUNTIF($D$2,"&lt;="&amp;N65)-M66-L66-K66-J66</f>
        <v>0</v>
      </c>
      <c r="O66" s="68" t="n">
        <f aca="false">COUNTIF($D$2,"&lt;="&amp;O65)-N66-M66-L66-K66-J66</f>
        <v>0</v>
      </c>
      <c r="P66" s="68" t="n">
        <f aca="false">COUNTIF($D$2,"&lt;="&amp;P65)-O66-N66-M66-L66-K66-J66</f>
        <v>0</v>
      </c>
      <c r="Q66" s="68" t="n">
        <f aca="false">COUNTIF($D$2,"&lt;="&amp;Q65)-P66-O66-N66-M66-L66-K66-J66</f>
        <v>0</v>
      </c>
      <c r="R66" s="0" t="n">
        <f aca="false">SUM(J66:Q66)</f>
        <v>1</v>
      </c>
      <c r="S66" s="18" t="n">
        <f aca="false">I48</f>
        <v>4</v>
      </c>
      <c r="T66" s="0" t="n">
        <f aca="false">F66</f>
        <v>1</v>
      </c>
      <c r="U66" s="7" t="n">
        <f aca="false">($J$63*J66+$K$63*K66+$L$63*L66+$M$63*M66+$N$63*N66+$O$63*O66+$P$63*P66+$Q$63*Q66)/R66</f>
        <v>52.875</v>
      </c>
      <c r="X66" s="0" t="s">
        <v>126</v>
      </c>
      <c r="Y66" s="0" t="s">
        <v>0</v>
      </c>
      <c r="Z66" s="0" t="s">
        <v>1</v>
      </c>
      <c r="AA66" s="0" t="s">
        <v>127</v>
      </c>
      <c r="AB66" s="0" t="s">
        <v>128</v>
      </c>
      <c r="AC66" s="0" t="s">
        <v>129</v>
      </c>
      <c r="AD66" s="0" t="s">
        <v>130</v>
      </c>
      <c r="AE66" s="0" t="s">
        <v>131</v>
      </c>
    </row>
    <row r="67" customFormat="false" ht="12.75" hidden="false" customHeight="false" outlineLevel="0" collapsed="false">
      <c r="A67" s="54" t="n">
        <v>169</v>
      </c>
      <c r="B67" s="54" t="n">
        <v>66</v>
      </c>
      <c r="C67" s="54" t="n">
        <v>171</v>
      </c>
      <c r="D67" s="54" t="n">
        <v>66</v>
      </c>
      <c r="F67" s="8" t="n">
        <f aca="false">F8</f>
        <v>2</v>
      </c>
      <c r="G67" s="11" t="n">
        <f aca="false">G8</f>
        <v>159</v>
      </c>
      <c r="H67" s="11" t="n">
        <f aca="false">H8</f>
        <v>162</v>
      </c>
      <c r="I67" s="32"/>
      <c r="J67" s="33" t="n">
        <f aca="false">COUNTIF($D$3:$D$6,"&lt;="&amp;J65)</f>
        <v>4</v>
      </c>
      <c r="K67" s="34" t="n">
        <f aca="false">COUNTIF($D$3:$D$6,"&lt;="&amp;K65)-J67</f>
        <v>0</v>
      </c>
      <c r="L67" s="30" t="n">
        <f aca="false">COUNTIF($D$3:$D$6,"&lt;="&amp;L65)-K67-J67</f>
        <v>0</v>
      </c>
      <c r="M67" s="35" t="n">
        <f aca="false">COUNTIF($D$3:$D$6,"&lt;="&amp;M65)-L67-K67-J67</f>
        <v>0</v>
      </c>
      <c r="N67" s="5" t="n">
        <f aca="false">COUNTIF($D$3:$D$6,"&lt;="&amp;N65)-M67-L67-K67-J67</f>
        <v>0</v>
      </c>
      <c r="O67" s="6" t="n">
        <f aca="false">COUNTIF($D$3:$D$6,"&lt;="&amp;O65)-N67-M67-L67-K67-J67</f>
        <v>0</v>
      </c>
      <c r="P67" s="68" t="n">
        <f aca="false">COUNTIF($D$3:$D$6,"&lt;="&amp;P65)-O67-N67-M67-L67-K67-J67</f>
        <v>0</v>
      </c>
      <c r="Q67" s="69" t="n">
        <f aca="false">COUNTIF($D$3:$D$6,"&lt;="&amp;Q65)-P67-O67-N67-M67-L67-K67-J67</f>
        <v>0</v>
      </c>
      <c r="R67" s="0" t="n">
        <f aca="false">SUM(J67:Q67)</f>
        <v>4</v>
      </c>
      <c r="S67" s="18" t="n">
        <f aca="false">I49</f>
        <v>3</v>
      </c>
      <c r="T67" s="0" t="n">
        <f aca="false">F67</f>
        <v>2</v>
      </c>
      <c r="U67" s="7" t="n">
        <f aca="false">($J$63*J67+$K$63*K67+$L$63*L67+$M$63*M67+$N$63*N67+$O$63*O67+$P$63*P67+$Q$63*Q67)/R67</f>
        <v>52.875</v>
      </c>
      <c r="X67" s="0" t="n">
        <v>1</v>
      </c>
      <c r="Y67" s="4" t="n">
        <f aca="false">I78</f>
        <v>157.5</v>
      </c>
      <c r="Z67" s="4" t="n">
        <f aca="false">U66</f>
        <v>52.875</v>
      </c>
      <c r="AA67" s="7" t="n">
        <f aca="false">Y67*Y67</f>
        <v>24806.25</v>
      </c>
      <c r="AB67" s="7" t="n">
        <f aca="false">Y67*Z67</f>
        <v>8327.8125</v>
      </c>
      <c r="AC67" s="7" t="n">
        <f aca="false">Z67*Z67</f>
        <v>2795.765625</v>
      </c>
      <c r="AD67" s="7" t="n">
        <v>1</v>
      </c>
      <c r="AE67" s="7" t="n">
        <f aca="false">Y76</f>
        <v>168</v>
      </c>
      <c r="AF67" s="7" t="n">
        <f aca="false">Z76</f>
        <v>64.861077724359</v>
      </c>
      <c r="AG67" s="7"/>
      <c r="AH67" s="7"/>
    </row>
    <row r="68" customFormat="false" ht="12.75" hidden="false" customHeight="false" outlineLevel="0" collapsed="false">
      <c r="A68" s="54" t="n">
        <v>173</v>
      </c>
      <c r="B68" s="54" t="n">
        <v>77</v>
      </c>
      <c r="C68" s="54" t="n">
        <v>171</v>
      </c>
      <c r="D68" s="54" t="n">
        <v>66</v>
      </c>
      <c r="F68" s="8" t="n">
        <f aca="false">F9</f>
        <v>3</v>
      </c>
      <c r="G68" s="11" t="n">
        <f aca="false">G9</f>
        <v>162</v>
      </c>
      <c r="H68" s="11" t="n">
        <f aca="false">H9</f>
        <v>165</v>
      </c>
      <c r="I68" s="32"/>
      <c r="J68" s="33" t="n">
        <f aca="false">COUNTIF($D$7:$D$19,"&lt;="&amp;J65)</f>
        <v>1</v>
      </c>
      <c r="K68" s="34" t="n">
        <f aca="false">COUNTIF($D$7:$D$19,"&lt;="&amp;K65)-J68</f>
        <v>12</v>
      </c>
      <c r="L68" s="30" t="n">
        <f aca="false">COUNTIF($D$7:$D$19,"&lt;="&amp;L65)-K68-J68</f>
        <v>0</v>
      </c>
      <c r="M68" s="35" t="n">
        <f aca="false">COUNTIF($D$7:$D$19,"&lt;="&amp;M65)-L68-K68-J68</f>
        <v>0</v>
      </c>
      <c r="N68" s="5" t="n">
        <f aca="false">COUNTIF($D$7:$D$19,"&lt;="&amp;N65)-M68-L68-K68-J68</f>
        <v>0</v>
      </c>
      <c r="O68" s="6" t="n">
        <f aca="false">COUNTIF($D$7:$D$19,"&lt;="&amp;O65)-N68-M68-L68-K68-J68</f>
        <v>0</v>
      </c>
      <c r="P68" s="36" t="n">
        <f aca="false">COUNTIF($D$7:$D$19,"&lt;="&amp;P65)-O68-N68-M68-L68-K68-J68</f>
        <v>0</v>
      </c>
      <c r="Q68" s="37" t="n">
        <f aca="false">COUNTIF($D$7:$D$19,"&lt;="&amp;Q65)-P68-O68-N68-M68-L68-K68-J68</f>
        <v>0</v>
      </c>
      <c r="R68" s="0" t="n">
        <f aca="false">SUM(J68:Q68)</f>
        <v>13</v>
      </c>
      <c r="S68" s="18" t="n">
        <f aca="false">I50</f>
        <v>13</v>
      </c>
      <c r="T68" s="0" t="n">
        <f aca="false">F68</f>
        <v>3</v>
      </c>
      <c r="U68" s="7" t="n">
        <f aca="false">($J$63*J68+$K$63*K68+$L$63*L68+$M$63*M68+$N$63*N68+$O$63*O68+$P$63*P68+$Q$63*Q68)/R68</f>
        <v>56.3365384615385</v>
      </c>
      <c r="X68" s="0" t="n">
        <v>2</v>
      </c>
      <c r="Y68" s="4" t="n">
        <f aca="false">I79</f>
        <v>160.5</v>
      </c>
      <c r="Z68" s="4" t="n">
        <f aca="false">U67</f>
        <v>52.875</v>
      </c>
      <c r="AA68" s="7" t="n">
        <f aca="false">Y68*Y68</f>
        <v>25760.25</v>
      </c>
      <c r="AB68" s="7" t="n">
        <f aca="false">Y68*Z68</f>
        <v>8486.4375</v>
      </c>
      <c r="AC68" s="7" t="n">
        <f aca="false">Z68*Z68</f>
        <v>2795.765625</v>
      </c>
      <c r="AD68" s="7" t="n">
        <f aca="false">Y76</f>
        <v>168</v>
      </c>
      <c r="AE68" s="7" t="n">
        <f aca="false">AA76</f>
        <v>28271.25</v>
      </c>
      <c r="AF68" s="7" t="n">
        <f aca="false">AB76</f>
        <v>10964.3018329327</v>
      </c>
      <c r="AG68" s="7"/>
      <c r="AH68" s="7"/>
    </row>
    <row r="69" customFormat="false" ht="12.75" hidden="false" customHeight="false" outlineLevel="0" collapsed="false">
      <c r="A69" s="54" t="n">
        <v>178</v>
      </c>
      <c r="B69" s="54" t="n">
        <v>71</v>
      </c>
      <c r="C69" s="54" t="n">
        <v>172</v>
      </c>
      <c r="D69" s="54" t="n">
        <v>67</v>
      </c>
      <c r="F69" s="8" t="n">
        <f aca="false">F10</f>
        <v>4</v>
      </c>
      <c r="G69" s="11" t="n">
        <f aca="false">G10</f>
        <v>165</v>
      </c>
      <c r="H69" s="11" t="n">
        <f aca="false">H10</f>
        <v>168</v>
      </c>
      <c r="I69" s="32"/>
      <c r="J69" s="33" t="n">
        <f aca="false">COUNTIF($D$20:$D$55,"&lt;="&amp;J65)</f>
        <v>0</v>
      </c>
      <c r="K69" s="34" t="n">
        <f aca="false">COUNTIF($D$20:$D$55,"&lt;="&amp;K65)-J69</f>
        <v>3</v>
      </c>
      <c r="L69" s="30" t="n">
        <f aca="false">COUNTIF($D$20:$D$55,"&lt;="&amp;L65)-K69-J69</f>
        <v>19</v>
      </c>
      <c r="M69" s="35" t="n">
        <f aca="false">COUNTIF($D$20:$D$55,"&lt;="&amp;M65)-L69-K69-J69</f>
        <v>14</v>
      </c>
      <c r="N69" s="5" t="n">
        <f aca="false">COUNTIF($D$20:$D$55,"&lt;="&amp;N65)-M69-L69-K69-J69</f>
        <v>0</v>
      </c>
      <c r="O69" s="6" t="n">
        <f aca="false">COUNTIF($D$20:$D$55,"&lt;="&amp;O65)-N69-M69-L69-K69-J69</f>
        <v>0</v>
      </c>
      <c r="P69" s="36" t="n">
        <f aca="false">COUNTIF($D$20:$D$55,"&lt;="&amp;P65)-O69-N69-M69-L69-K69-J69</f>
        <v>0</v>
      </c>
      <c r="Q69" s="37" t="n">
        <f aca="false">COUNTIF($D$20:$D$55,"&lt;="&amp;Q65)-P69-O69-N69-M69-L69-K69-J69</f>
        <v>0</v>
      </c>
      <c r="R69" s="0" t="n">
        <f aca="false">SUM(J69:Q69)</f>
        <v>36</v>
      </c>
      <c r="S69" s="18" t="n">
        <f aca="false">I51</f>
        <v>21</v>
      </c>
      <c r="T69" s="0" t="n">
        <f aca="false">F69</f>
        <v>4</v>
      </c>
      <c r="U69" s="0" t="n">
        <f aca="false">($J$63*J69+$K$63*K69+$L$63*L69+$M$63*M69+$N$63*N69+$O$63*O69+$P$63*P69+$Q$63*Q69)/R69</f>
        <v>61.5208333333333</v>
      </c>
      <c r="X69" s="0" t="n">
        <v>3</v>
      </c>
      <c r="Y69" s="4" t="n">
        <f aca="false">I80</f>
        <v>163.5</v>
      </c>
      <c r="Z69" s="4" t="n">
        <f aca="false">U68</f>
        <v>56.3365384615385</v>
      </c>
      <c r="AA69" s="7" t="n">
        <f aca="false">Y69*Y69</f>
        <v>26732.25</v>
      </c>
      <c r="AB69" s="7" t="n">
        <f aca="false">Y69*Z69</f>
        <v>9211.02403846154</v>
      </c>
      <c r="AC69" s="7" t="n">
        <f aca="false">Z69*Z69</f>
        <v>3173.8055658284</v>
      </c>
      <c r="AD69" s="7"/>
      <c r="AE69" s="7"/>
      <c r="AF69" s="7"/>
      <c r="AG69" s="7"/>
      <c r="AH69" s="7"/>
    </row>
    <row r="70" customFormat="false" ht="12.75" hidden="false" customHeight="false" outlineLevel="0" collapsed="false">
      <c r="A70" s="54" t="n">
        <v>171</v>
      </c>
      <c r="B70" s="54" t="n">
        <v>64</v>
      </c>
      <c r="C70" s="54" t="n">
        <v>172</v>
      </c>
      <c r="D70" s="54" t="n">
        <v>67</v>
      </c>
      <c r="F70" s="8" t="n">
        <f aca="false">F11</f>
        <v>5</v>
      </c>
      <c r="G70" s="11" t="n">
        <f aca="false">G11</f>
        <v>168</v>
      </c>
      <c r="H70" s="11" t="n">
        <f aca="false">H11</f>
        <v>171</v>
      </c>
      <c r="I70" s="32"/>
      <c r="J70" s="33" t="n">
        <f aca="false">COUNTIF($D$56:$D$79,"&lt;="&amp;J65)</f>
        <v>0</v>
      </c>
      <c r="K70" s="65" t="n">
        <f aca="false">COUNTIF($D$56:$D$79,"&lt;="&amp;K65)-J70</f>
        <v>0</v>
      </c>
      <c r="L70" s="66" t="n">
        <f aca="false">COUNTIF($D$56:$D$79,"&lt;="&amp;L65)-K70-J70</f>
        <v>0</v>
      </c>
      <c r="M70" s="67" t="n">
        <f aca="false">COUNTIF($D$56:$D$79,"&lt;="&amp;M65)-L70-K70-J70</f>
        <v>13</v>
      </c>
      <c r="N70" s="68" t="n">
        <f aca="false">COUNTIF($D$56:$D$79,"&lt;="&amp;N65)-M70-L70-K70-J70</f>
        <v>9</v>
      </c>
      <c r="O70" s="70" t="n">
        <f aca="false">COUNTIF($D$56:$D$79,"&lt;="&amp;O65)-N70-M70-L70-K70-J70</f>
        <v>2</v>
      </c>
      <c r="P70" s="71" t="n">
        <f aca="false">COUNTIF($D$56:$D$79,"&lt;="&amp;P65)-O70-N70-M70-L70-K70-J70</f>
        <v>0</v>
      </c>
      <c r="Q70" s="69" t="n">
        <f aca="false">COUNTIF($D$56:$D$79,"&lt;="&amp;Q65)-P70-O70-N70-M70-L70-K70-J70</f>
        <v>0</v>
      </c>
      <c r="R70" s="0" t="n">
        <f aca="false">SUM(J70:Q70)</f>
        <v>24</v>
      </c>
      <c r="S70" s="18" t="n">
        <f aca="false">I52</f>
        <v>21</v>
      </c>
      <c r="T70" s="0" t="n">
        <f aca="false">F70</f>
        <v>5</v>
      </c>
      <c r="U70" s="7" t="n">
        <f aca="false">($J$63*J70+$K$63*K70+$L$63*L70+$M$63*M70+$N$63*N70+$O$63*O70+$P$63*P70+$Q$63*Q70)/R70</f>
        <v>66.15625</v>
      </c>
      <c r="X70" s="0" t="n">
        <v>4</v>
      </c>
      <c r="Y70" s="4" t="n">
        <f aca="false">I81</f>
        <v>166.5</v>
      </c>
      <c r="Z70" s="4" t="n">
        <f aca="false">U69</f>
        <v>61.5208333333333</v>
      </c>
      <c r="AA70" s="7" t="n">
        <f aca="false">Y70*Y70</f>
        <v>27722.25</v>
      </c>
      <c r="AB70" s="7" t="n">
        <f aca="false">Y70*Z70</f>
        <v>10243.21875</v>
      </c>
      <c r="AC70" s="7" t="n">
        <f aca="false">Z70*Z70</f>
        <v>3784.81293402778</v>
      </c>
      <c r="AD70" s="7" t="n">
        <f aca="false" t="array" ref="AD70:AE71">MINVERSE(AD67:AE68)</f>
        <v>598.333333333333</v>
      </c>
      <c r="AE70" s="7" t="n">
        <v>-3.55555555555556</v>
      </c>
      <c r="AF70" s="7"/>
      <c r="AG70" s="7"/>
      <c r="AH70" s="7"/>
    </row>
    <row r="71" customFormat="false" ht="12.75" hidden="false" customHeight="false" outlineLevel="0" collapsed="false">
      <c r="A71" s="54" t="n">
        <v>161</v>
      </c>
      <c r="B71" s="54" t="n">
        <v>51</v>
      </c>
      <c r="C71" s="54" t="n">
        <v>172</v>
      </c>
      <c r="D71" s="54" t="n">
        <v>68</v>
      </c>
      <c r="F71" s="8" t="n">
        <f aca="false">F12</f>
        <v>6</v>
      </c>
      <c r="G71" s="11" t="n">
        <f aca="false">G12</f>
        <v>171</v>
      </c>
      <c r="H71" s="11" t="n">
        <f aca="false">H12</f>
        <v>174</v>
      </c>
      <c r="I71" s="32"/>
      <c r="J71" s="33" t="n">
        <f aca="false">COUNTIF($D$80:$D$94,"&lt;="&amp;J65)</f>
        <v>0</v>
      </c>
      <c r="K71" s="65" t="n">
        <f aca="false">COUNTIF($D$80:$D$94,"&lt;="&amp;K65)-J71</f>
        <v>0</v>
      </c>
      <c r="L71" s="66" t="n">
        <f aca="false">COUNTIF($D$80:$D$94,"&lt;="&amp;L65)-K71-J71</f>
        <v>0</v>
      </c>
      <c r="M71" s="67" t="n">
        <f aca="false">COUNTIF($D$80:$D$94,"&lt;="&amp;M65)-L71-K71-J71</f>
        <v>0</v>
      </c>
      <c r="N71" s="68" t="n">
        <f aca="false">COUNTIF($D$80:$D$94,"&lt;="&amp;N65)-M71-L71-K71-J71</f>
        <v>0</v>
      </c>
      <c r="O71" s="70" t="n">
        <f aca="false">COUNTIF($D$80:$D$94,"&lt;="&amp;O65)-N71-M71-L71-K71-J71</f>
        <v>13</v>
      </c>
      <c r="P71" s="71" t="n">
        <f aca="false">COUNTIF($D$80:$D$94,"&lt;="&amp;P65)-O71-N71-M71-L71-K71-J71</f>
        <v>2</v>
      </c>
      <c r="Q71" s="69" t="n">
        <f aca="false">COUNTIF($D$80:$D$94,"&lt;="&amp;Q65)-P71-O71-N71-M71-L71-K71-J71</f>
        <v>0</v>
      </c>
      <c r="R71" s="0" t="n">
        <f aca="false">SUM(J71:Q71)</f>
        <v>15</v>
      </c>
      <c r="S71" s="18" t="n">
        <f aca="false">I53</f>
        <v>22</v>
      </c>
      <c r="T71" s="0" t="n">
        <f aca="false">F71</f>
        <v>6</v>
      </c>
      <c r="U71" s="0" t="n">
        <f aca="false">($J$63*J71+$K$63*K71+$L$63*L71+$M$63*M71+$N$63*N71+$O$63*O71+$P$63*P71+$Q$63*Q71)/R71</f>
        <v>72.125</v>
      </c>
      <c r="X71" s="0" t="n">
        <v>5</v>
      </c>
      <c r="Y71" s="4" t="n">
        <f aca="false">I82</f>
        <v>169.5</v>
      </c>
      <c r="Z71" s="4" t="n">
        <f aca="false">U70</f>
        <v>66.15625</v>
      </c>
      <c r="AA71" s="7" t="n">
        <f aca="false">Y71*Y71</f>
        <v>28730.25</v>
      </c>
      <c r="AB71" s="7" t="n">
        <f aca="false">Y71*Z71</f>
        <v>11213.484375</v>
      </c>
      <c r="AC71" s="7" t="n">
        <f aca="false">Z71*Z71</f>
        <v>4376.6494140625</v>
      </c>
      <c r="AD71" s="7" t="n">
        <v>-3.55555555555556</v>
      </c>
      <c r="AE71" s="7" t="n">
        <v>0.0211640211640212</v>
      </c>
      <c r="AF71" s="7"/>
      <c r="AG71" s="7"/>
      <c r="AH71" s="7"/>
    </row>
    <row r="72" customFormat="false" ht="12.75" hidden="false" customHeight="false" outlineLevel="0" collapsed="false">
      <c r="A72" s="54" t="n">
        <v>162</v>
      </c>
      <c r="B72" s="54" t="n">
        <v>65</v>
      </c>
      <c r="C72" s="54" t="n">
        <v>172</v>
      </c>
      <c r="D72" s="54" t="n">
        <v>68</v>
      </c>
      <c r="F72" s="8" t="n">
        <f aca="false">F13</f>
        <v>7</v>
      </c>
      <c r="G72" s="11" t="n">
        <f aca="false">G13</f>
        <v>174</v>
      </c>
      <c r="H72" s="11" t="n">
        <f aca="false">H13</f>
        <v>177</v>
      </c>
      <c r="I72" s="32"/>
      <c r="J72" s="33" t="n">
        <f aca="false">COUNTIF($D$95:$D$97,"&lt;="&amp;J65)</f>
        <v>0</v>
      </c>
      <c r="K72" s="65" t="n">
        <f aca="false">COUNTIF($D$95:$D$97,"&lt;="&amp;K65)-J72</f>
        <v>0</v>
      </c>
      <c r="L72" s="66" t="n">
        <f aca="false">COUNTIF($D$95:$D$97,"&lt;="&amp;L65)-K72-J72</f>
        <v>0</v>
      </c>
      <c r="M72" s="67" t="n">
        <f aca="false">COUNTIF($D$95:$D$97,"&lt;="&amp;M65)-L72-K72-J72</f>
        <v>0</v>
      </c>
      <c r="N72" s="68" t="n">
        <f aca="false">COUNTIF($D$95:$D$97,"&lt;="&amp;N65)-M72-L72-K72-J72</f>
        <v>0</v>
      </c>
      <c r="O72" s="70" t="n">
        <f aca="false">COUNTIF($D$95:$D$97,"&lt;="&amp;O65)-N72-M72-L72-K72-J72</f>
        <v>0</v>
      </c>
      <c r="P72" s="71" t="n">
        <f aca="false">COUNTIF($D$95:$D$97,"&lt;="&amp;P65)-O72-N72-M72-L72-K72-J72</f>
        <v>1</v>
      </c>
      <c r="Q72" s="69" t="n">
        <f aca="false">COUNTIF($D$95:$D$97,"&lt;="&amp;Q65)-P72-O72-N72-M72-L72-K72-J72</f>
        <v>2</v>
      </c>
      <c r="R72" s="0" t="n">
        <f aca="false">SUM(J72:Q72)</f>
        <v>3</v>
      </c>
      <c r="S72" s="18" t="n">
        <f aca="false">I54</f>
        <v>10</v>
      </c>
      <c r="T72" s="0" t="n">
        <f aca="false">F72</f>
        <v>7</v>
      </c>
      <c r="U72" s="0" t="n">
        <f aca="false">($J$63*J72+$K$63*K72+$L$63*L72+$M$63*M72+$N$63*N72+$O$63*O72+$P$63*P72+$Q$63*Q72)/R72</f>
        <v>77.875</v>
      </c>
      <c r="X72" s="0" t="n">
        <v>6</v>
      </c>
      <c r="Y72" s="4" t="n">
        <f aca="false">I83</f>
        <v>172.5</v>
      </c>
      <c r="Z72" s="4" t="n">
        <f aca="false">U71</f>
        <v>72.125</v>
      </c>
      <c r="AA72" s="7" t="n">
        <f aca="false">Y72*Y72</f>
        <v>29756.25</v>
      </c>
      <c r="AB72" s="7" t="n">
        <f aca="false">Y72*Z72</f>
        <v>12441.5625</v>
      </c>
      <c r="AC72" s="7" t="n">
        <f aca="false">Z72*Z72</f>
        <v>5202.015625</v>
      </c>
      <c r="AD72" s="7"/>
      <c r="AE72" s="7"/>
      <c r="AF72" s="7"/>
      <c r="AG72" s="7"/>
      <c r="AH72" s="7"/>
    </row>
    <row r="73" customFormat="false" ht="12.75" hidden="false" customHeight="false" outlineLevel="0" collapsed="false">
      <c r="A73" s="54" t="n">
        <v>167</v>
      </c>
      <c r="B73" s="54" t="n">
        <v>63</v>
      </c>
      <c r="C73" s="54" t="n">
        <v>172</v>
      </c>
      <c r="D73" s="54" t="n">
        <v>68</v>
      </c>
      <c r="F73" s="8" t="n">
        <f aca="false">F14</f>
        <v>8</v>
      </c>
      <c r="G73" s="11" t="n">
        <f aca="false">G14</f>
        <v>177</v>
      </c>
      <c r="H73" s="11" t="n">
        <f aca="false">H14</f>
        <v>180</v>
      </c>
      <c r="I73" s="32"/>
      <c r="J73" s="33" t="n">
        <f aca="false">COUNTIF($D$98:$D$101,"&lt;="&amp;J65)</f>
        <v>0</v>
      </c>
      <c r="K73" s="34" t="n">
        <f aca="false">COUNTIF($D$98:$D$101,"&lt;="&amp;K65)-J73</f>
        <v>0</v>
      </c>
      <c r="L73" s="66" t="n">
        <f aca="false">COUNTIF($D$98:$D$101,"&lt;="&amp;L65)-K73-J73</f>
        <v>0</v>
      </c>
      <c r="M73" s="67" t="n">
        <f aca="false">COUNTIF($D$98:$D$101,"&lt;="&amp;M65)-L73-K73-J73</f>
        <v>0</v>
      </c>
      <c r="N73" s="68" t="n">
        <f aca="false">COUNTIF($D$98:$D$101,"&lt;="&amp;N65)-M73-L73-K73-J73</f>
        <v>0</v>
      </c>
      <c r="O73" s="70" t="n">
        <f aca="false">COUNTIF($D$98:$D$101,"&lt;="&amp;O65)-N73-M73-L73-K73-J73</f>
        <v>0</v>
      </c>
      <c r="P73" s="71" t="n">
        <f aca="false">COUNTIF($D$98:$D$101,"&lt;="&amp;P65)-O73-N73-M73-L73-K73-J73</f>
        <v>0</v>
      </c>
      <c r="Q73" s="69" t="n">
        <f aca="false">COUNTIF($D$98:$D$101,"&lt;="&amp;Q65)-P73-O73-N73-M73-L73-K73-J73</f>
        <v>4</v>
      </c>
      <c r="R73" s="0" t="n">
        <f aca="false">SUM(J73:Q73)</f>
        <v>4</v>
      </c>
      <c r="S73" s="18" t="n">
        <f aca="false">I55</f>
        <v>6</v>
      </c>
      <c r="T73" s="0" t="n">
        <f aca="false">F73</f>
        <v>8</v>
      </c>
      <c r="U73" s="0" t="n">
        <f aca="false">($J$63*J73+$K$63*K73+$L$63*L73+$M$63*M73+$N$63*N73+$O$63*O73+$P$63*P73+$Q$63*Q73)/R73</f>
        <v>79.125</v>
      </c>
      <c r="X73" s="0" t="n">
        <v>7</v>
      </c>
      <c r="Y73" s="4" t="n">
        <f aca="false">I84</f>
        <v>175.5</v>
      </c>
      <c r="Z73" s="4" t="n">
        <f aca="false">U72</f>
        <v>77.875</v>
      </c>
      <c r="AA73" s="7" t="n">
        <f aca="false">Y73*Y73</f>
        <v>30800.25</v>
      </c>
      <c r="AB73" s="7" t="n">
        <f aca="false">Y73*Z73</f>
        <v>13667.0625</v>
      </c>
      <c r="AC73" s="7" t="n">
        <f aca="false">Z73*Z73</f>
        <v>6064.515625</v>
      </c>
      <c r="AD73" s="7"/>
      <c r="AE73" s="7"/>
      <c r="AF73" s="7"/>
      <c r="AG73" s="7"/>
      <c r="AH73" s="7"/>
    </row>
    <row r="74" customFormat="false" ht="12.9" hidden="false" customHeight="false" outlineLevel="0" collapsed="false">
      <c r="A74" s="54" t="n">
        <v>174</v>
      </c>
      <c r="B74" s="54" t="n">
        <v>68</v>
      </c>
      <c r="C74" s="54" t="n">
        <v>172</v>
      </c>
      <c r="D74" s="54" t="n">
        <v>68</v>
      </c>
      <c r="J74" s="0" t="n">
        <f aca="false">SUM(J66:J73)</f>
        <v>6</v>
      </c>
      <c r="K74" s="0" t="n">
        <f aca="false">SUM(K66:K73)</f>
        <v>15</v>
      </c>
      <c r="L74" s="0" t="n">
        <f aca="false">SUM(L66:L73)</f>
        <v>19</v>
      </c>
      <c r="M74" s="0" t="n">
        <f aca="false">SUM(M66:M73)</f>
        <v>27</v>
      </c>
      <c r="N74" s="0" t="n">
        <f aca="false">SUM(N66:N73)</f>
        <v>9</v>
      </c>
      <c r="O74" s="0" t="n">
        <f aca="false">SUM(O66:O73)</f>
        <v>15</v>
      </c>
      <c r="P74" s="0" t="n">
        <f aca="false">SUM(P66:P73)</f>
        <v>3</v>
      </c>
      <c r="Q74" s="0" t="n">
        <f aca="false">SUM(Q66:Q73)</f>
        <v>6</v>
      </c>
      <c r="R74" s="0" t="n">
        <f aca="false">SUM(R66:R73)</f>
        <v>100</v>
      </c>
      <c r="S74" s="0" t="n">
        <f aca="false">SUM(S66:S73)</f>
        <v>100</v>
      </c>
      <c r="X74" s="0" t="n">
        <v>8</v>
      </c>
      <c r="Y74" s="4" t="n">
        <f aca="false">I85</f>
        <v>178.5</v>
      </c>
      <c r="Z74" s="4" t="n">
        <f aca="false">U73</f>
        <v>79.125</v>
      </c>
      <c r="AA74" s="7" t="n">
        <f aca="false">Y74*Y74</f>
        <v>31862.25</v>
      </c>
      <c r="AB74" s="7" t="n">
        <f aca="false">Y74*Z74</f>
        <v>14123.8125</v>
      </c>
      <c r="AC74" s="7" t="n">
        <f aca="false">Z74*Z74</f>
        <v>6260.765625</v>
      </c>
      <c r="AD74" s="7"/>
      <c r="AE74" s="72" t="s">
        <v>132</v>
      </c>
      <c r="AF74" s="7" t="n">
        <f aca="false">AB76-Z76*Y76</f>
        <v>67.6407752403829</v>
      </c>
      <c r="AG74" s="7" t="s">
        <v>133</v>
      </c>
      <c r="AH74" s="7" t="n">
        <f aca="false">(AA76-Y76*Y76)^0.5</f>
        <v>6.87386354243376</v>
      </c>
    </row>
    <row r="75" customFormat="false" ht="12.75" hidden="false" customHeight="false" outlineLevel="0" collapsed="false">
      <c r="A75" s="54" t="n">
        <v>167</v>
      </c>
      <c r="B75" s="54" t="n">
        <v>65</v>
      </c>
      <c r="C75" s="54" t="n">
        <v>172</v>
      </c>
      <c r="D75" s="54" t="n">
        <v>68</v>
      </c>
      <c r="J75" s="38" t="n">
        <f aca="false">COUNTIF($B$2:$B$101,"&lt;=52,50")</f>
        <v>3</v>
      </c>
      <c r="K75" s="38" t="n">
        <f aca="false">COUNTIF($B$2:$B$101,"&lt;=57,0")-COUNTIF($B$2:$B$101,"&lt;=52,50")</f>
        <v>17</v>
      </c>
      <c r="L75" s="38" t="n">
        <f aca="false">COUNTIF($B$2:$B$101,"&lt;=61,5")-COUNTIF($B$2:$B$101,"&lt;=57,0")</f>
        <v>16</v>
      </c>
      <c r="M75" s="38" t="n">
        <f aca="false">COUNTIF($B$2:$B$101,"&lt;=66,0")-COUNTIF($B$2:$B$101,"&lt;=61,5")</f>
        <v>31</v>
      </c>
      <c r="N75" s="38" t="n">
        <f aca="false">COUNTIF($B$2:$B$101,"&lt;=70,5")-COUNTIF($B$2:$B$101,"&lt;=66")</f>
        <v>18</v>
      </c>
      <c r="O75" s="38" t="n">
        <f aca="false">COUNTIF($B$2:$B$101,"&lt;=75,0")-COUNTIF($B$2:$B$101,"&lt;=70,5")</f>
        <v>7</v>
      </c>
      <c r="P75" s="38" t="n">
        <f aca="false">COUNTIF($B$2:$B$101,"&lt;=79,5")-COUNTIF($B$2:$B$101,"&lt;=75,0")</f>
        <v>5</v>
      </c>
      <c r="Q75" s="38" t="n">
        <f aca="false">COUNTIF($B$2:$B$101,"&lt;=84")-COUNTIF($B$2:$B$101,"&lt;=79,75")</f>
        <v>3</v>
      </c>
      <c r="R75" s="0" t="n">
        <f aca="false">SUM(J72:Q72)</f>
        <v>3</v>
      </c>
      <c r="X75" s="0" t="s">
        <v>134</v>
      </c>
      <c r="Y75" s="7" t="n">
        <f aca="false">SUM(Y67:Y74)</f>
        <v>1344</v>
      </c>
      <c r="Z75" s="7" t="n">
        <f aca="false">SUM(Z67:Z74)</f>
        <v>518.888621794872</v>
      </c>
      <c r="AA75" s="7" t="n">
        <f aca="false">SUM(AA67:AA74)</f>
        <v>226170</v>
      </c>
      <c r="AB75" s="7" t="n">
        <f aca="false">SUM(AB67:AB74)</f>
        <v>87714.4146634615</v>
      </c>
      <c r="AC75" s="7" t="n">
        <f aca="false">SUM(AC67:AC74)</f>
        <v>34454.0960389187</v>
      </c>
      <c r="AD75" s="7"/>
      <c r="AE75" s="7"/>
      <c r="AF75" s="7"/>
      <c r="AG75" s="7" t="s">
        <v>135</v>
      </c>
      <c r="AH75" s="7" t="n">
        <f aca="false">(AC76-Z76*Z76)^0.5</f>
        <v>9.9901251893807</v>
      </c>
    </row>
    <row r="76" customFormat="false" ht="12.75" hidden="false" customHeight="false" outlineLevel="0" collapsed="false">
      <c r="A76" s="54" t="n">
        <v>169</v>
      </c>
      <c r="B76" s="54" t="n">
        <v>61</v>
      </c>
      <c r="C76" s="54" t="n">
        <v>172</v>
      </c>
      <c r="D76" s="54" t="n">
        <v>68</v>
      </c>
      <c r="R76" s="0" t="n">
        <f aca="false">SUM(J73:Q73)</f>
        <v>4</v>
      </c>
      <c r="X76" s="0" t="s">
        <v>136</v>
      </c>
      <c r="Y76" s="7" t="n">
        <f aca="false">Y75/$X$74</f>
        <v>168</v>
      </c>
      <c r="Z76" s="7" t="n">
        <f aca="false">Z75/$X$74</f>
        <v>64.861077724359</v>
      </c>
      <c r="AA76" s="7" t="n">
        <f aca="false">AA75/$X$74</f>
        <v>28271.25</v>
      </c>
      <c r="AB76" s="7" t="n">
        <f aca="false">AB75/$X$74</f>
        <v>10964.3018329327</v>
      </c>
      <c r="AC76" s="7" t="n">
        <f aca="false">AC75/$X$74</f>
        <v>4306.76200486484</v>
      </c>
      <c r="AD76" s="7" t="n">
        <f aca="false" t="array" ref="AD76:AD77">MMULT(AD70:AE71,AF67:AF68)</f>
        <v>-175.639456463658</v>
      </c>
      <c r="AE76" s="73" t="s">
        <v>130</v>
      </c>
      <c r="AF76" s="7" t="n">
        <f aca="false">INDEX(LINEST(Z67:Z74,Y67:Y74,1,0),1,2)</f>
        <v>-175.639456463675</v>
      </c>
      <c r="AG76" s="7" t="s">
        <v>137</v>
      </c>
      <c r="AH76" s="7" t="n">
        <f aca="false">AF74/(AH74*AH75)</f>
        <v>0.985001154444881</v>
      </c>
      <c r="AI76" s="7" t="n">
        <f aca="false">AH76^2</f>
        <v>0.970227274257749</v>
      </c>
    </row>
    <row r="77" customFormat="false" ht="12.75" hidden="false" customHeight="false" outlineLevel="0" collapsed="false">
      <c r="A77" s="54" t="n">
        <v>176</v>
      </c>
      <c r="B77" s="54" t="n">
        <v>70</v>
      </c>
      <c r="C77" s="54" t="n">
        <v>173</v>
      </c>
      <c r="D77" s="54" t="n">
        <v>69</v>
      </c>
      <c r="E77" s="0" t="s">
        <v>82</v>
      </c>
      <c r="I77" s="39"/>
      <c r="J77" s="40" t="n">
        <f aca="false">(I65+J65)/2</f>
        <v>52.875</v>
      </c>
      <c r="K77" s="40" t="n">
        <f aca="false">(J65+K65)/2</f>
        <v>56.625</v>
      </c>
      <c r="L77" s="40" t="n">
        <f aca="false">(K65+L65)/2</f>
        <v>60.375</v>
      </c>
      <c r="M77" s="40" t="n">
        <f aca="false">(L65+M65)/2</f>
        <v>64.125</v>
      </c>
      <c r="N77" s="40" t="n">
        <f aca="false">(M65+N65)/2</f>
        <v>67.875</v>
      </c>
      <c r="O77" s="40" t="n">
        <f aca="false">(N65+O65)/2</f>
        <v>71.625</v>
      </c>
      <c r="P77" s="40" t="n">
        <f aca="false">(O65+P65)/2</f>
        <v>75.375</v>
      </c>
      <c r="Q77" s="40" t="n">
        <f aca="false">(P65+Q65)/2</f>
        <v>79.125</v>
      </c>
      <c r="S77" s="0" t="n">
        <f aca="false">SUM(J74:Q74)</f>
        <v>100</v>
      </c>
      <c r="AD77" s="7" t="n">
        <v>1.43155079873827</v>
      </c>
      <c r="AE77" s="74" t="s">
        <v>131</v>
      </c>
      <c r="AF77" s="7" t="n">
        <f aca="false">LINEST(Z67:Z74,Y67:Y74,1,0)</f>
        <v>1.4315507987383</v>
      </c>
      <c r="AH77" s="0" t="s">
        <v>138</v>
      </c>
    </row>
    <row r="78" customFormat="false" ht="76.5" hidden="false" customHeight="true" outlineLevel="0" collapsed="false">
      <c r="A78" s="54" t="n">
        <v>170</v>
      </c>
      <c r="B78" s="54" t="n">
        <v>67</v>
      </c>
      <c r="C78" s="54" t="n">
        <v>173</v>
      </c>
      <c r="D78" s="54" t="n">
        <v>70</v>
      </c>
      <c r="H78" s="75" t="n">
        <v>1</v>
      </c>
      <c r="I78" s="76" t="n">
        <f aca="false">(G66+H66)/2</f>
        <v>157.5</v>
      </c>
      <c r="J78" s="77" t="n">
        <v>0.03</v>
      </c>
      <c r="K78" s="75" t="n">
        <v>0.01</v>
      </c>
      <c r="L78" s="75" t="n">
        <f aca="false">L66/$S$78</f>
        <v>0</v>
      </c>
      <c r="M78" s="75" t="n">
        <f aca="false">M66/$S$78</f>
        <v>0</v>
      </c>
      <c r="N78" s="75" t="n">
        <f aca="false">N66/$S$78</f>
        <v>0</v>
      </c>
      <c r="O78" s="75" t="n">
        <f aca="false">O66/$S$78</f>
        <v>0</v>
      </c>
      <c r="P78" s="75" t="n">
        <f aca="false">P66/$S$78</f>
        <v>0</v>
      </c>
      <c r="Q78" s="75" t="n">
        <f aca="false">Q66/$S$78</f>
        <v>0</v>
      </c>
      <c r="R78" s="78" t="n">
        <f aca="false">SUM(J78:Q78)</f>
        <v>0.04</v>
      </c>
      <c r="S78" s="75" t="n">
        <f aca="false">SUM(J75:Q75)</f>
        <v>100</v>
      </c>
      <c r="T78" s="75"/>
      <c r="AH78" s="79" t="s">
        <v>139</v>
      </c>
    </row>
    <row r="79" customFormat="false" ht="12.75" hidden="false" customHeight="false" outlineLevel="0" collapsed="false">
      <c r="A79" s="54" t="n">
        <v>168</v>
      </c>
      <c r="B79" s="54" t="n">
        <v>65</v>
      </c>
      <c r="C79" s="54" t="n">
        <v>173</v>
      </c>
      <c r="D79" s="54" t="n">
        <v>70</v>
      </c>
      <c r="H79" s="75" t="n">
        <v>2</v>
      </c>
      <c r="I79" s="76" t="n">
        <f aca="false">(G67+H67)/2</f>
        <v>160.5</v>
      </c>
      <c r="J79" s="75" t="n">
        <v>0.01</v>
      </c>
      <c r="K79" s="75" t="n">
        <v>0.01</v>
      </c>
      <c r="L79" s="75" t="n">
        <v>0.01</v>
      </c>
      <c r="M79" s="75" t="n">
        <f aca="false">M67/$S$78</f>
        <v>0</v>
      </c>
      <c r="N79" s="75" t="n">
        <f aca="false">N67/$S$78</f>
        <v>0</v>
      </c>
      <c r="O79" s="75" t="n">
        <f aca="false">O67/$S$78</f>
        <v>0</v>
      </c>
      <c r="P79" s="75" t="n">
        <f aca="false">P67/$S$78</f>
        <v>0</v>
      </c>
      <c r="Q79" s="75" t="n">
        <f aca="false">Q67/$S$78</f>
        <v>0</v>
      </c>
      <c r="R79" s="78" t="n">
        <f aca="false">SUM(J79:Q79)</f>
        <v>0.03</v>
      </c>
      <c r="S79" s="75"/>
      <c r="T79" s="75"/>
    </row>
    <row r="80" customFormat="false" ht="12.75" hidden="false" customHeight="false" outlineLevel="0" collapsed="false">
      <c r="A80" s="54" t="n">
        <v>172</v>
      </c>
      <c r="B80" s="54" t="n">
        <v>59</v>
      </c>
      <c r="C80" s="54" t="n">
        <v>173</v>
      </c>
      <c r="D80" s="54" t="n">
        <v>70</v>
      </c>
      <c r="H80" s="75" t="n">
        <v>3</v>
      </c>
      <c r="I80" s="76" t="n">
        <f aca="false">(G68+H68)/2</f>
        <v>163.5</v>
      </c>
      <c r="J80" s="75" t="n">
        <v>0.02</v>
      </c>
      <c r="K80" s="75" t="n">
        <v>0.03</v>
      </c>
      <c r="L80" s="75" t="n">
        <v>0.05</v>
      </c>
      <c r="M80" s="75" t="n">
        <f aca="false">M68/$S$78</f>
        <v>0</v>
      </c>
      <c r="N80" s="75" t="n">
        <v>0.03</v>
      </c>
      <c r="O80" s="75" t="n">
        <f aca="false">O68/$S$78</f>
        <v>0</v>
      </c>
      <c r="P80" s="75" t="n">
        <f aca="false">P68/$S$78</f>
        <v>0</v>
      </c>
      <c r="Q80" s="75" t="n">
        <f aca="false">Q68/$S$78</f>
        <v>0</v>
      </c>
      <c r="R80" s="78" t="n">
        <f aca="false">SUM(J80:Q80)</f>
        <v>0.13</v>
      </c>
      <c r="S80" s="75"/>
      <c r="T80" s="75"/>
      <c r="AH80" s="0" t="s">
        <v>140</v>
      </c>
    </row>
    <row r="81" customFormat="false" ht="12.75" hidden="false" customHeight="false" outlineLevel="0" collapsed="false">
      <c r="A81" s="54" t="n">
        <v>164</v>
      </c>
      <c r="B81" s="54" t="n">
        <v>60</v>
      </c>
      <c r="C81" s="54" t="n">
        <v>173</v>
      </c>
      <c r="D81" s="54" t="n">
        <v>70</v>
      </c>
      <c r="H81" s="75" t="n">
        <v>4</v>
      </c>
      <c r="I81" s="76" t="n">
        <f aca="false">(G69+H69)/2</f>
        <v>166.5</v>
      </c>
      <c r="J81" s="75" t="n">
        <f aca="false">J69/$S$78</f>
        <v>0</v>
      </c>
      <c r="K81" s="75" t="n">
        <v>0.06</v>
      </c>
      <c r="L81" s="75" t="n">
        <v>0.07</v>
      </c>
      <c r="M81" s="75" t="n">
        <v>0.05</v>
      </c>
      <c r="N81" s="75" t="n">
        <v>0.02</v>
      </c>
      <c r="O81" s="75" t="n">
        <v>0.01</v>
      </c>
      <c r="P81" s="75" t="n">
        <f aca="false">P69/$S$78</f>
        <v>0</v>
      </c>
      <c r="Q81" s="75" t="n">
        <f aca="false">Q69/$S$78</f>
        <v>0</v>
      </c>
      <c r="R81" s="78" t="n">
        <f aca="false">SUM(J81:Q81)</f>
        <v>0.21</v>
      </c>
      <c r="S81" s="75"/>
      <c r="T81" s="75"/>
      <c r="AC81" s="0" t="s">
        <v>141</v>
      </c>
      <c r="AD81" s="0" t="n">
        <f aca="false">SQRT(1-AH76*AH76)</f>
        <v>0.172547749165995</v>
      </c>
      <c r="AE81" s="80" t="n">
        <f aca="false">AH76*SQRT(100-2)</f>
        <v>9.75101394098375</v>
      </c>
      <c r="AF81" s="0" t="s">
        <v>142</v>
      </c>
      <c r="AH81" s="7" t="n">
        <f aca="false">AH76*SQRT((100-2)/(1-AH76^2))</f>
        <v>56.511974152749</v>
      </c>
    </row>
    <row r="82" customFormat="false" ht="12.75" hidden="false" customHeight="false" outlineLevel="0" collapsed="false">
      <c r="A82" s="54" t="n">
        <v>178</v>
      </c>
      <c r="B82" s="54" t="n">
        <v>80</v>
      </c>
      <c r="C82" s="54" t="n">
        <v>173</v>
      </c>
      <c r="D82" s="54" t="n">
        <v>70</v>
      </c>
      <c r="H82" s="75" t="n">
        <v>5</v>
      </c>
      <c r="I82" s="76" t="n">
        <f aca="false">(G70+H70)/2</f>
        <v>169.5</v>
      </c>
      <c r="J82" s="75" t="n">
        <f aca="false">J70/$S$78</f>
        <v>0</v>
      </c>
      <c r="K82" s="75" t="n">
        <v>0.02</v>
      </c>
      <c r="L82" s="75" t="n">
        <v>0.04</v>
      </c>
      <c r="M82" s="75" t="n">
        <v>0.07</v>
      </c>
      <c r="N82" s="75" t="n">
        <v>0.05</v>
      </c>
      <c r="O82" s="75" t="n">
        <f aca="false">O70/$S$78</f>
        <v>0.02</v>
      </c>
      <c r="P82" s="75" t="n">
        <f aca="false">P70/$S$78</f>
        <v>0</v>
      </c>
      <c r="Q82" s="75" t="n">
        <f aca="false">Q70/$S$78</f>
        <v>0</v>
      </c>
      <c r="R82" s="78" t="n">
        <f aca="false">SUM(J82:Q82)</f>
        <v>0.2</v>
      </c>
      <c r="S82" s="75"/>
      <c r="T82" s="75"/>
      <c r="AE82" s="4" t="n">
        <f aca="false">_xlfn.T.INV.2T(0.05,98)</f>
        <v>1.98446745450848</v>
      </c>
      <c r="AH82" s="7" t="n">
        <f aca="false">_xlfn.T.INV.2T(0.05,98)</f>
        <v>1.98446745450848</v>
      </c>
    </row>
    <row r="83" customFormat="false" ht="12.75" hidden="false" customHeight="false" outlineLevel="0" collapsed="false">
      <c r="A83" s="54" t="n">
        <v>172</v>
      </c>
      <c r="B83" s="54" t="n">
        <v>73</v>
      </c>
      <c r="C83" s="54" t="n">
        <v>173</v>
      </c>
      <c r="D83" s="54" t="n">
        <v>70</v>
      </c>
      <c r="H83" s="75" t="n">
        <v>6</v>
      </c>
      <c r="I83" s="76" t="n">
        <f aca="false">(G71+H71)/2</f>
        <v>172.5</v>
      </c>
      <c r="J83" s="75" t="n">
        <f aca="false">J71/$S$78</f>
        <v>0</v>
      </c>
      <c r="K83" s="75" t="n">
        <f aca="false">K71/$S$78</f>
        <v>0</v>
      </c>
      <c r="L83" s="75" t="n">
        <v>0.02</v>
      </c>
      <c r="M83" s="75" t="n">
        <v>0.08</v>
      </c>
      <c r="N83" s="75" t="n">
        <v>0.04</v>
      </c>
      <c r="O83" s="75" t="n">
        <v>0.05</v>
      </c>
      <c r="P83" s="75" t="n">
        <v>0.01</v>
      </c>
      <c r="Q83" s="75" t="n">
        <f aca="false">Q71/$S$78</f>
        <v>0</v>
      </c>
      <c r="R83" s="78" t="n">
        <f aca="false">SUM(J83:Q83)</f>
        <v>0.2</v>
      </c>
      <c r="S83" s="75"/>
      <c r="T83" s="75"/>
      <c r="AE83" s="81" t="n">
        <f aca="false">CORREL(A2:A101,B2:B101)</f>
        <v>0.680278728046305</v>
      </c>
    </row>
    <row r="84" customFormat="false" ht="12.75" hidden="false" customHeight="false" outlineLevel="0" collapsed="false">
      <c r="A84" s="54" t="n">
        <v>171</v>
      </c>
      <c r="B84" s="54" t="n">
        <v>65</v>
      </c>
      <c r="C84" s="54" t="n">
        <v>173</v>
      </c>
      <c r="D84" s="54" t="n">
        <v>70</v>
      </c>
      <c r="H84" s="75" t="n">
        <v>7</v>
      </c>
      <c r="I84" s="76" t="n">
        <f aca="false">(G72+H72)/2</f>
        <v>175.5</v>
      </c>
      <c r="J84" s="75" t="n">
        <f aca="false">J72/$S$78</f>
        <v>0</v>
      </c>
      <c r="K84" s="75" t="n">
        <f aca="false">K72/$S$78</f>
        <v>0</v>
      </c>
      <c r="L84" s="75" t="n">
        <f aca="false">L72/$S$78</f>
        <v>0</v>
      </c>
      <c r="M84" s="75" t="n">
        <v>0.01</v>
      </c>
      <c r="N84" s="75" t="n">
        <v>0.01</v>
      </c>
      <c r="O84" s="75" t="n">
        <v>0.03</v>
      </c>
      <c r="P84" s="75" t="n">
        <v>0.03</v>
      </c>
      <c r="Q84" s="75" t="n">
        <f aca="false">Q72/$S$78</f>
        <v>0.02</v>
      </c>
      <c r="R84" s="78" t="n">
        <f aca="false">SUM(J84:Q84)</f>
        <v>0.1</v>
      </c>
      <c r="S84" s="75"/>
      <c r="T84" s="75"/>
    </row>
    <row r="85" customFormat="false" ht="12.75" hidden="false" customHeight="false" outlineLevel="0" collapsed="false">
      <c r="A85" s="54" t="n">
        <v>167</v>
      </c>
      <c r="B85" s="54" t="n">
        <v>52</v>
      </c>
      <c r="C85" s="54" t="n">
        <v>173</v>
      </c>
      <c r="D85" s="54" t="n">
        <v>70</v>
      </c>
      <c r="H85" s="75" t="n">
        <v>8</v>
      </c>
      <c r="I85" s="76" t="n">
        <f aca="false">(G73+H73)/2</f>
        <v>178.5</v>
      </c>
      <c r="J85" s="75" t="n">
        <f aca="false">J73/$S$78</f>
        <v>0</v>
      </c>
      <c r="K85" s="75" t="n">
        <f aca="false">K73/$S$78</f>
        <v>0</v>
      </c>
      <c r="L85" s="75" t="n">
        <v>0.01</v>
      </c>
      <c r="M85" s="75" t="n">
        <f aca="false">M73/$S$78</f>
        <v>0</v>
      </c>
      <c r="N85" s="75" t="n">
        <f aca="false">N73/$S$78</f>
        <v>0</v>
      </c>
      <c r="O85" s="75" t="n">
        <v>0.01</v>
      </c>
      <c r="P85" s="75" t="n">
        <v>0.02</v>
      </c>
      <c r="Q85" s="75" t="n">
        <v>0.02</v>
      </c>
      <c r="R85" s="78" t="n">
        <f aca="false">SUM(J85:Q85)</f>
        <v>0.06</v>
      </c>
      <c r="S85" s="75"/>
      <c r="T85" s="75"/>
    </row>
    <row r="86" customFormat="false" ht="12.75" hidden="false" customHeight="false" outlineLevel="0" collapsed="false">
      <c r="A86" s="54" t="n">
        <v>170</v>
      </c>
      <c r="B86" s="54" t="n">
        <v>61</v>
      </c>
      <c r="C86" s="54" t="n">
        <v>174</v>
      </c>
      <c r="D86" s="54" t="n">
        <v>70</v>
      </c>
      <c r="E86" s="0" t="s">
        <v>83</v>
      </c>
      <c r="H86" s="75"/>
      <c r="I86" s="82"/>
      <c r="J86" s="83" t="n">
        <f aca="false">SUM(J78:J85)</f>
        <v>0.06</v>
      </c>
      <c r="K86" s="84" t="n">
        <f aca="false">SUM(K78:K85)</f>
        <v>0.13</v>
      </c>
      <c r="L86" s="84" t="n">
        <f aca="false">SUM(L78:L85)</f>
        <v>0.2</v>
      </c>
      <c r="M86" s="84" t="n">
        <f aca="false">SUM(M78:M85)</f>
        <v>0.21</v>
      </c>
      <c r="N86" s="84" t="n">
        <f aca="false">SUM(N78:N85)</f>
        <v>0.15</v>
      </c>
      <c r="O86" s="84" t="n">
        <f aca="false">SUM(O78:O85)</f>
        <v>0.12</v>
      </c>
      <c r="P86" s="84" t="n">
        <f aca="false">SUM(P78:P85)</f>
        <v>0.06</v>
      </c>
      <c r="Q86" s="84" t="n">
        <f aca="false">SUM(Q78:Q85)</f>
        <v>0.04</v>
      </c>
      <c r="R86" s="75"/>
      <c r="S86" s="75"/>
      <c r="T86" s="75"/>
    </row>
    <row r="87" customFormat="false" ht="12.75" hidden="false" customHeight="false" outlineLevel="0" collapsed="false">
      <c r="A87" s="54" t="n">
        <v>170</v>
      </c>
      <c r="B87" s="54" t="n">
        <v>61</v>
      </c>
      <c r="C87" s="54" t="n">
        <v>174</v>
      </c>
      <c r="D87" s="54" t="n">
        <v>71</v>
      </c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</row>
    <row r="88" customFormat="false" ht="12.75" hidden="false" customHeight="false" outlineLevel="0" collapsed="false">
      <c r="A88" s="54" t="n">
        <v>167</v>
      </c>
      <c r="B88" s="54" t="n">
        <v>57</v>
      </c>
      <c r="C88" s="54" t="n">
        <v>174</v>
      </c>
      <c r="D88" s="54" t="n">
        <v>71</v>
      </c>
      <c r="H88" s="75"/>
      <c r="I88" s="75" t="n">
        <v>1</v>
      </c>
      <c r="J88" s="85" t="n">
        <f aca="false">$I$78*J77*J78</f>
        <v>249.834375</v>
      </c>
      <c r="K88" s="85" t="n">
        <f aca="false">$I$78*K77*K78</f>
        <v>89.184375</v>
      </c>
      <c r="L88" s="85" t="n">
        <f aca="false">$I$78*L77*L78</f>
        <v>0</v>
      </c>
      <c r="M88" s="85" t="n">
        <f aca="false">$I$78*M77*M78</f>
        <v>0</v>
      </c>
      <c r="N88" s="85" t="n">
        <f aca="false">$I$78*N77*N78</f>
        <v>0</v>
      </c>
      <c r="O88" s="85" t="n">
        <f aca="false">$I$78*O77*O78</f>
        <v>0</v>
      </c>
      <c r="P88" s="85" t="n">
        <f aca="false">$I$78*P77*P78</f>
        <v>0</v>
      </c>
      <c r="Q88" s="85" t="n">
        <f aca="false">$I$78*Q77*Q78</f>
        <v>0</v>
      </c>
      <c r="R88" s="86" t="n">
        <f aca="false">SUM(J88:Q88)</f>
        <v>339.01875</v>
      </c>
      <c r="S88" s="75"/>
      <c r="T88" s="75"/>
    </row>
    <row r="89" customFormat="false" ht="12.75" hidden="false" customHeight="false" outlineLevel="0" collapsed="false">
      <c r="A89" s="54" t="n">
        <v>171</v>
      </c>
      <c r="B89" s="54" t="n">
        <v>63</v>
      </c>
      <c r="C89" s="54" t="n">
        <v>175</v>
      </c>
      <c r="D89" s="54" t="n">
        <v>71</v>
      </c>
      <c r="H89" s="75"/>
      <c r="I89" s="75" t="n">
        <v>2</v>
      </c>
      <c r="J89" s="85" t="n">
        <f aca="false">$I$79*J77*J79</f>
        <v>84.864375</v>
      </c>
      <c r="K89" s="85" t="n">
        <f aca="false">$I$79*K77*K79</f>
        <v>90.883125</v>
      </c>
      <c r="L89" s="85" t="n">
        <f aca="false">$I$79*L77*L79</f>
        <v>96.901875</v>
      </c>
      <c r="M89" s="85" t="n">
        <f aca="false">$I$79*M77*M79</f>
        <v>0</v>
      </c>
      <c r="N89" s="85" t="n">
        <f aca="false">$I$79*N77*N79</f>
        <v>0</v>
      </c>
      <c r="O89" s="85" t="n">
        <f aca="false">$I$79*O77*O79</f>
        <v>0</v>
      </c>
      <c r="P89" s="85" t="n">
        <f aca="false">$I$79*P77*P79</f>
        <v>0</v>
      </c>
      <c r="Q89" s="85" t="n">
        <f aca="false">$I$79*Q77*Q79</f>
        <v>0</v>
      </c>
      <c r="R89" s="86" t="n">
        <f aca="false">SUM(J89:Q89)</f>
        <v>272.649375</v>
      </c>
      <c r="S89" s="75"/>
      <c r="T89" s="75"/>
    </row>
    <row r="90" customFormat="false" ht="12.75" hidden="false" customHeight="false" outlineLevel="0" collapsed="false">
      <c r="A90" s="54" t="n">
        <v>168</v>
      </c>
      <c r="B90" s="54" t="n">
        <v>58</v>
      </c>
      <c r="C90" s="54" t="n">
        <v>175</v>
      </c>
      <c r="D90" s="54" t="n">
        <v>72</v>
      </c>
      <c r="H90" s="75"/>
      <c r="I90" s="75" t="n">
        <v>3</v>
      </c>
      <c r="J90" s="85" t="n">
        <f aca="false">$I$80*J80*J77</f>
        <v>172.90125</v>
      </c>
      <c r="K90" s="85" t="n">
        <f aca="false">$I$80*K80*K77</f>
        <v>277.745625</v>
      </c>
      <c r="L90" s="85" t="n">
        <f aca="false">$I$80*L80*L77</f>
        <v>493.565625</v>
      </c>
      <c r="M90" s="85" t="n">
        <f aca="false">$I$80*M80*M77</f>
        <v>0</v>
      </c>
      <c r="N90" s="85" t="n">
        <f aca="false">$I$80*N80*N77</f>
        <v>332.926875</v>
      </c>
      <c r="O90" s="85" t="n">
        <f aca="false">$I$80*O80*O77</f>
        <v>0</v>
      </c>
      <c r="P90" s="85" t="n">
        <f aca="false">$I$80*P80*P77</f>
        <v>0</v>
      </c>
      <c r="Q90" s="85" t="n">
        <f aca="false">$I$80*Q80*Q77</f>
        <v>0</v>
      </c>
      <c r="R90" s="86" t="n">
        <f aca="false">SUM(J90:Q90)</f>
        <v>1277.139375</v>
      </c>
      <c r="S90" s="75"/>
      <c r="T90" s="75"/>
    </row>
    <row r="91" customFormat="false" ht="12.75" hidden="false" customHeight="false" outlineLevel="0" collapsed="false">
      <c r="A91" s="54" t="n">
        <v>173</v>
      </c>
      <c r="B91" s="54" t="n">
        <v>63</v>
      </c>
      <c r="C91" s="54" t="n">
        <v>176</v>
      </c>
      <c r="D91" s="54" t="n">
        <v>73</v>
      </c>
      <c r="H91" s="75"/>
      <c r="I91" s="75" t="n">
        <v>4</v>
      </c>
      <c r="J91" s="85" t="n">
        <f aca="false">$I$81*J81*J77</f>
        <v>0</v>
      </c>
      <c r="K91" s="85" t="n">
        <f aca="false">$I$81*K81*K77</f>
        <v>565.68375</v>
      </c>
      <c r="L91" s="85" t="n">
        <f aca="false">$I$81*L81*L77</f>
        <v>703.670625</v>
      </c>
      <c r="M91" s="85" t="n">
        <f aca="false">$I$81*M81*M77</f>
        <v>533.840625</v>
      </c>
      <c r="N91" s="85" t="n">
        <f aca="false">$I$81*N81*N77</f>
        <v>226.02375</v>
      </c>
      <c r="O91" s="85" t="n">
        <f aca="false">$I$81*O81*O77</f>
        <v>119.255625</v>
      </c>
      <c r="P91" s="85" t="n">
        <f aca="false">$I$81*P81*P77</f>
        <v>0</v>
      </c>
      <c r="Q91" s="85" t="n">
        <f aca="false">$I$81*Q81*Q77</f>
        <v>0</v>
      </c>
      <c r="R91" s="86" t="n">
        <f aca="false">SUM(J91:Q91)</f>
        <v>2148.474375</v>
      </c>
      <c r="S91" s="75"/>
      <c r="T91" s="75"/>
    </row>
    <row r="92" customFormat="false" ht="12.75" hidden="false" customHeight="false" outlineLevel="0" collapsed="false">
      <c r="A92" s="54" t="n">
        <v>173</v>
      </c>
      <c r="B92" s="54" t="n">
        <v>72</v>
      </c>
      <c r="C92" s="54" t="n">
        <v>176</v>
      </c>
      <c r="D92" s="54" t="n">
        <v>73</v>
      </c>
      <c r="H92" s="75"/>
      <c r="I92" s="75" t="n">
        <v>5</v>
      </c>
      <c r="J92" s="85" t="n">
        <f aca="false">$I$82*J82*J77</f>
        <v>0</v>
      </c>
      <c r="K92" s="85" t="n">
        <f aca="false">$I$82*K82*K77</f>
        <v>191.95875</v>
      </c>
      <c r="L92" s="85" t="n">
        <f aca="false">$I$82*L82*L77</f>
        <v>409.3425</v>
      </c>
      <c r="M92" s="85" t="n">
        <f aca="false">$I$82*M82*M77</f>
        <v>760.843125</v>
      </c>
      <c r="N92" s="85" t="n">
        <f aca="false">$I$82*N82*N77</f>
        <v>575.240625</v>
      </c>
      <c r="O92" s="85" t="n">
        <f aca="false">$I$82*O82*O77</f>
        <v>242.80875</v>
      </c>
      <c r="P92" s="85" t="n">
        <f aca="false">$I$82*P82*P77</f>
        <v>0</v>
      </c>
      <c r="Q92" s="85" t="n">
        <f aca="false">$I$82*Q82*Q77</f>
        <v>0</v>
      </c>
      <c r="R92" s="86" t="n">
        <f aca="false">SUM(J92:Q92)</f>
        <v>2180.19375</v>
      </c>
      <c r="S92" s="75"/>
      <c r="T92" s="75"/>
    </row>
    <row r="93" customFormat="false" ht="12.75" hidden="false" customHeight="false" outlineLevel="0" collapsed="false">
      <c r="A93" s="54" t="n">
        <v>170</v>
      </c>
      <c r="B93" s="54" t="n">
        <v>65</v>
      </c>
      <c r="C93" s="54" t="n">
        <v>176</v>
      </c>
      <c r="D93" s="54" t="n">
        <v>74</v>
      </c>
      <c r="E93" s="0" t="s">
        <v>84</v>
      </c>
      <c r="H93" s="75"/>
      <c r="I93" s="75" t="n">
        <v>6</v>
      </c>
      <c r="J93" s="85" t="n">
        <f aca="false">$I$83*J83*J77</f>
        <v>0</v>
      </c>
      <c r="K93" s="85" t="n">
        <f aca="false">$I$83*K83*K77</f>
        <v>0</v>
      </c>
      <c r="L93" s="85" t="n">
        <f aca="false">$I$83*L83*L77</f>
        <v>208.29375</v>
      </c>
      <c r="M93" s="85" t="n">
        <f aca="false">$I$83*M83*M77</f>
        <v>884.925</v>
      </c>
      <c r="N93" s="85" t="n">
        <f aca="false">$I$83*N83*N77</f>
        <v>468.3375</v>
      </c>
      <c r="O93" s="85" t="n">
        <f aca="false">$I$83*O83*O77</f>
        <v>617.765625</v>
      </c>
      <c r="P93" s="85" t="n">
        <f aca="false">$I$83*P83*P77</f>
        <v>130.021875</v>
      </c>
      <c r="Q93" s="85" t="n">
        <f aca="false">$I$83*Q83*Q77</f>
        <v>0</v>
      </c>
      <c r="R93" s="86" t="n">
        <f aca="false">SUM(J93:Q93)</f>
        <v>2309.34375</v>
      </c>
      <c r="S93" s="75"/>
      <c r="T93" s="75"/>
    </row>
    <row r="94" customFormat="false" ht="12.75" hidden="false" customHeight="false" outlineLevel="0" collapsed="false">
      <c r="A94" s="54" t="n">
        <v>172</v>
      </c>
      <c r="B94" s="54" t="n">
        <v>70</v>
      </c>
      <c r="C94" s="54" t="n">
        <v>176</v>
      </c>
      <c r="D94" s="54" t="n">
        <v>77</v>
      </c>
      <c r="E94" s="0" t="s">
        <v>85</v>
      </c>
      <c r="H94" s="75"/>
      <c r="I94" s="75" t="n">
        <v>7</v>
      </c>
      <c r="J94" s="85" t="n">
        <f aca="false">$I$84*J84*J77</f>
        <v>0</v>
      </c>
      <c r="K94" s="85" t="n">
        <f aca="false">$I$84*K84*K77</f>
        <v>0</v>
      </c>
      <c r="L94" s="85" t="n">
        <f aca="false">$I$84*L84*L77</f>
        <v>0</v>
      </c>
      <c r="M94" s="85" t="n">
        <f aca="false">$I$84*M84*M77</f>
        <v>112.539375</v>
      </c>
      <c r="N94" s="85" t="n">
        <f aca="false">$I$84*N84*N77</f>
        <v>119.120625</v>
      </c>
      <c r="O94" s="85" t="n">
        <f aca="false">$I$84*O84*O77</f>
        <v>377.105625</v>
      </c>
      <c r="P94" s="85" t="n">
        <f aca="false">$I$84*P84*P77</f>
        <v>396.849375</v>
      </c>
      <c r="Q94" s="85" t="n">
        <f aca="false">$I$84*Q84*Q77</f>
        <v>277.72875</v>
      </c>
      <c r="R94" s="86" t="n">
        <f aca="false">SUM(J94:Q94)</f>
        <v>1283.34375</v>
      </c>
      <c r="S94" s="75"/>
      <c r="T94" s="75"/>
    </row>
    <row r="95" customFormat="false" ht="12.75" hidden="false" customHeight="false" outlineLevel="0" collapsed="false">
      <c r="A95" s="54" t="n">
        <v>162</v>
      </c>
      <c r="B95" s="54" t="n">
        <v>56</v>
      </c>
      <c r="C95" s="54" t="n">
        <v>176</v>
      </c>
      <c r="D95" s="54" t="n">
        <v>77</v>
      </c>
      <c r="H95" s="75"/>
      <c r="I95" s="75" t="n">
        <v>8</v>
      </c>
      <c r="J95" s="85" t="n">
        <f aca="false">$I$85*J85*J77</f>
        <v>0</v>
      </c>
      <c r="K95" s="85" t="n">
        <f aca="false">$I$85*K85*K77</f>
        <v>0</v>
      </c>
      <c r="L95" s="85" t="n">
        <f aca="false">$I$85*L85*L77</f>
        <v>107.769375</v>
      </c>
      <c r="M95" s="85" t="n">
        <f aca="false">$I$85*M85*M77</f>
        <v>0</v>
      </c>
      <c r="N95" s="85" t="n">
        <f aca="false">$I$85*N85*N77</f>
        <v>0</v>
      </c>
      <c r="O95" s="85" t="n">
        <f aca="false">$I$85*O85*O77</f>
        <v>127.850625</v>
      </c>
      <c r="P95" s="85" t="n">
        <f aca="false">$I$85*P85*P77</f>
        <v>269.08875</v>
      </c>
      <c r="Q95" s="85" t="n">
        <f aca="false">$I$85*Q85*Q77</f>
        <v>282.47625</v>
      </c>
      <c r="R95" s="86" t="n">
        <f aca="false">SUM(J95:Q95)</f>
        <v>787.185</v>
      </c>
      <c r="S95" s="75"/>
      <c r="T95" s="75"/>
    </row>
    <row r="96" customFormat="false" ht="12.75" hidden="false" customHeight="false" outlineLevel="0" collapsed="false">
      <c r="A96" s="54" t="n">
        <v>171</v>
      </c>
      <c r="B96" s="54" t="n">
        <v>63</v>
      </c>
      <c r="C96" s="54" t="n">
        <v>177</v>
      </c>
      <c r="D96" s="54" t="n">
        <v>78</v>
      </c>
      <c r="H96" s="75"/>
      <c r="I96" s="75"/>
      <c r="J96" s="86" t="n">
        <f aca="false">SUM(J88:J95)</f>
        <v>507.6</v>
      </c>
      <c r="K96" s="86" t="n">
        <f aca="false">SUM(K88:K95)</f>
        <v>1215.455625</v>
      </c>
      <c r="L96" s="86" t="n">
        <f aca="false">SUM(L88:L95)</f>
        <v>2019.54375</v>
      </c>
      <c r="M96" s="86" t="n">
        <f aca="false">SUM(M88:M95)</f>
        <v>2292.148125</v>
      </c>
      <c r="N96" s="86" t="n">
        <f aca="false">SUM(N88:N95)</f>
        <v>1721.649375</v>
      </c>
      <c r="O96" s="86" t="n">
        <f aca="false">SUM(O88:O95)</f>
        <v>1484.78625</v>
      </c>
      <c r="P96" s="86" t="n">
        <f aca="false">SUM(P88:P95)</f>
        <v>795.96</v>
      </c>
      <c r="Q96" s="86" t="n">
        <f aca="false">SUM(Q88:Q95)</f>
        <v>560.205</v>
      </c>
      <c r="R96" s="86" t="n">
        <f aca="false">SUM(J96:Q96)</f>
        <v>10597.348125</v>
      </c>
      <c r="S96" s="75" t="s">
        <v>86</v>
      </c>
      <c r="T96" s="75"/>
    </row>
    <row r="97" customFormat="false" ht="12.75" hidden="false" customHeight="false" outlineLevel="0" collapsed="false">
      <c r="A97" s="54" t="n">
        <v>173</v>
      </c>
      <c r="B97" s="54" t="n">
        <v>69</v>
      </c>
      <c r="C97" s="54" t="n">
        <v>178</v>
      </c>
      <c r="D97" s="54" t="n">
        <v>78</v>
      </c>
      <c r="E97" s="0" t="s">
        <v>87</v>
      </c>
      <c r="G97" s="0" t="s">
        <v>88</v>
      </c>
      <c r="H97" s="75"/>
      <c r="I97" s="75"/>
      <c r="J97" s="75" t="s">
        <v>89</v>
      </c>
      <c r="K97" s="75"/>
      <c r="L97" s="75"/>
      <c r="M97" s="75" t="s">
        <v>90</v>
      </c>
      <c r="N97" s="75"/>
      <c r="O97" s="75"/>
      <c r="P97" s="75"/>
      <c r="Q97" s="75"/>
      <c r="R97" s="75"/>
      <c r="S97" s="75"/>
      <c r="T97" s="75"/>
    </row>
    <row r="98" customFormat="false" ht="12.75" hidden="false" customHeight="false" outlineLevel="0" collapsed="false">
      <c r="A98" s="54" t="n">
        <v>156</v>
      </c>
      <c r="B98" s="54" t="n">
        <v>54</v>
      </c>
      <c r="C98" s="54" t="n">
        <v>178</v>
      </c>
      <c r="D98" s="54" t="n">
        <v>79</v>
      </c>
      <c r="E98" s="0" t="s">
        <v>91</v>
      </c>
      <c r="G98" s="0" t="s">
        <v>1</v>
      </c>
      <c r="H98" s="87" t="n">
        <f aca="false">J77</f>
        <v>52.875</v>
      </c>
      <c r="I98" s="87" t="n">
        <f aca="false">K77</f>
        <v>56.625</v>
      </c>
      <c r="J98" s="87" t="n">
        <f aca="false">L77</f>
        <v>60.375</v>
      </c>
      <c r="K98" s="87" t="n">
        <f aca="false">M77</f>
        <v>64.125</v>
      </c>
      <c r="L98" s="87" t="n">
        <f aca="false">N77</f>
        <v>67.875</v>
      </c>
      <c r="M98" s="87" t="n">
        <f aca="false">O77</f>
        <v>71.625</v>
      </c>
      <c r="N98" s="87" t="n">
        <f aca="false">P77</f>
        <v>75.375</v>
      </c>
      <c r="O98" s="87" t="n">
        <f aca="false">Q77</f>
        <v>79.125</v>
      </c>
      <c r="P98" s="75"/>
      <c r="Q98" s="75"/>
      <c r="R98" s="75"/>
      <c r="S98" s="75"/>
      <c r="T98" s="75"/>
    </row>
    <row r="99" customFormat="false" ht="12.75" hidden="false" customHeight="false" outlineLevel="0" collapsed="false">
      <c r="A99" s="54" t="n">
        <v>168</v>
      </c>
      <c r="B99" s="54" t="n">
        <v>70</v>
      </c>
      <c r="C99" s="54" t="n">
        <v>178</v>
      </c>
      <c r="D99" s="54" t="n">
        <v>80</v>
      </c>
      <c r="E99" s="0" t="s">
        <v>92</v>
      </c>
      <c r="G99" s="0" t="s">
        <v>93</v>
      </c>
      <c r="H99" s="88" t="n">
        <f aca="false">J86</f>
        <v>0.06</v>
      </c>
      <c r="I99" s="88" t="n">
        <f aca="false">K86</f>
        <v>0.13</v>
      </c>
      <c r="J99" s="88" t="n">
        <f aca="false">L86</f>
        <v>0.2</v>
      </c>
      <c r="K99" s="88" t="n">
        <f aca="false">M86</f>
        <v>0.21</v>
      </c>
      <c r="L99" s="88" t="n">
        <f aca="false">N86</f>
        <v>0.15</v>
      </c>
      <c r="M99" s="88" t="n">
        <f aca="false">O86</f>
        <v>0.12</v>
      </c>
      <c r="N99" s="88" t="n">
        <f aca="false">P86</f>
        <v>0.06</v>
      </c>
      <c r="O99" s="88" t="n">
        <f aca="false">Q86</f>
        <v>0.04</v>
      </c>
      <c r="P99" s="75"/>
      <c r="Q99" s="75"/>
      <c r="R99" s="75"/>
      <c r="S99" s="75"/>
      <c r="T99" s="75"/>
    </row>
    <row r="100" customFormat="false" ht="12.75" hidden="false" customHeight="false" outlineLevel="0" collapsed="false">
      <c r="A100" s="54" t="n">
        <v>176</v>
      </c>
      <c r="B100" s="54" t="n">
        <v>70</v>
      </c>
      <c r="C100" s="54" t="n">
        <v>178</v>
      </c>
      <c r="D100" s="54" t="n">
        <v>80</v>
      </c>
      <c r="H100" s="87" t="n">
        <f aca="false">H98*H99</f>
        <v>3.1725</v>
      </c>
      <c r="I100" s="87" t="n">
        <f aca="false">I98*I99</f>
        <v>7.36125</v>
      </c>
      <c r="J100" s="87" t="n">
        <f aca="false">J98*J99</f>
        <v>12.075</v>
      </c>
      <c r="K100" s="87" t="n">
        <f aca="false">K98*K99</f>
        <v>13.46625</v>
      </c>
      <c r="L100" s="87" t="n">
        <f aca="false">L98*L99</f>
        <v>10.18125</v>
      </c>
      <c r="M100" s="87" t="n">
        <f aca="false">M98*M99</f>
        <v>8.595</v>
      </c>
      <c r="N100" s="87" t="n">
        <f aca="false">N98*N99</f>
        <v>4.5225</v>
      </c>
      <c r="O100" s="87" t="n">
        <f aca="false">O98*O99</f>
        <v>3.165</v>
      </c>
      <c r="P100" s="75" t="n">
        <f aca="false">SUM(H100:O100)</f>
        <v>62.53875</v>
      </c>
      <c r="Q100" s="75" t="s">
        <v>94</v>
      </c>
      <c r="R100" s="75"/>
      <c r="S100" s="75"/>
      <c r="T100" s="75"/>
    </row>
    <row r="101" customFormat="false" ht="12.75" hidden="false" customHeight="false" outlineLevel="0" collapsed="false">
      <c r="A101" s="54" t="n">
        <v>164</v>
      </c>
      <c r="B101" s="54" t="n">
        <v>57</v>
      </c>
      <c r="C101" s="54" t="n">
        <v>180</v>
      </c>
      <c r="D101" s="54" t="n">
        <v>81</v>
      </c>
      <c r="E101" s="0" t="s">
        <v>95</v>
      </c>
      <c r="H101" s="87" t="n">
        <f aca="false">H100*H98</f>
        <v>167.7459375</v>
      </c>
      <c r="I101" s="87" t="n">
        <f aca="false">I100*I98</f>
        <v>416.83078125</v>
      </c>
      <c r="J101" s="87" t="n">
        <f aca="false">J100*J98</f>
        <v>729.028125</v>
      </c>
      <c r="K101" s="87" t="n">
        <f aca="false">K100*K98</f>
        <v>863.52328125</v>
      </c>
      <c r="L101" s="87" t="n">
        <f aca="false">L100*L98</f>
        <v>691.05234375</v>
      </c>
      <c r="M101" s="87" t="n">
        <f aca="false">M100*M98</f>
        <v>615.616875</v>
      </c>
      <c r="N101" s="87" t="n">
        <f aca="false">N100*N98</f>
        <v>340.8834375</v>
      </c>
      <c r="O101" s="87" t="n">
        <f aca="false">O100*O98</f>
        <v>250.430625</v>
      </c>
      <c r="P101" s="75" t="n">
        <f aca="false">SUM(H101:O101)</f>
        <v>4075.11140625</v>
      </c>
      <c r="Q101" s="75" t="s">
        <v>96</v>
      </c>
      <c r="R101" s="75"/>
      <c r="S101" s="75"/>
      <c r="T101" s="75"/>
    </row>
    <row r="102" customFormat="false" ht="12.75" hidden="false" customHeight="false" outlineLevel="0" collapsed="false">
      <c r="A102" s="89"/>
      <c r="G102" s="0" t="s">
        <v>97</v>
      </c>
      <c r="H102" s="75"/>
      <c r="I102" s="75"/>
      <c r="J102" s="75" t="n">
        <f aca="false">(R96-Q108*P100)/(Q111*R102)</f>
        <v>0.910553875550751</v>
      </c>
      <c r="K102" s="75"/>
      <c r="L102" s="75" t="s">
        <v>98</v>
      </c>
      <c r="M102" s="75" t="n">
        <f aca="false">J102*R102/Q111</f>
        <v>0.398432014931666</v>
      </c>
      <c r="N102" s="75"/>
      <c r="O102" s="75"/>
      <c r="P102" s="75" t="n">
        <f aca="false">-P100*P100+P101</f>
        <v>164.0161546875</v>
      </c>
      <c r="Q102" s="75" t="s">
        <v>99</v>
      </c>
      <c r="R102" s="75" t="n">
        <f aca="false">P102^0.5</f>
        <v>12.8068791939137</v>
      </c>
      <c r="S102" s="75" t="s">
        <v>100</v>
      </c>
      <c r="T102" s="75"/>
    </row>
    <row r="103" customFormat="false" ht="12.75" hidden="false" customHeight="false" outlineLevel="0" collapsed="false">
      <c r="A103" s="90"/>
      <c r="H103" s="75" t="s">
        <v>143</v>
      </c>
      <c r="I103" s="75" t="n">
        <f aca="false">M102</f>
        <v>0.398432014931666</v>
      </c>
      <c r="J103" s="75" t="s">
        <v>144</v>
      </c>
      <c r="K103" s="75" t="n">
        <f aca="false">P100-M102*J27</f>
        <v>-4.85204100554203</v>
      </c>
      <c r="L103" s="75"/>
      <c r="M103" s="75"/>
      <c r="N103" s="75"/>
      <c r="O103" s="75"/>
      <c r="P103" s="75"/>
      <c r="Q103" s="75"/>
      <c r="R103" s="75"/>
      <c r="S103" s="75"/>
      <c r="T103" s="75"/>
    </row>
    <row r="104" customFormat="false" ht="12.75" hidden="false" customHeight="false" outlineLevel="0" collapsed="false">
      <c r="A104" s="90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</row>
    <row r="105" customFormat="false" ht="12.75" hidden="false" customHeight="false" outlineLevel="0" collapsed="false">
      <c r="H105" s="75"/>
      <c r="I105" s="75" t="s">
        <v>101</v>
      </c>
      <c r="J105" s="75"/>
      <c r="K105" s="75"/>
      <c r="L105" s="75" t="s">
        <v>102</v>
      </c>
      <c r="M105" s="75"/>
      <c r="N105" s="75"/>
      <c r="O105" s="75"/>
      <c r="P105" s="75"/>
      <c r="Q105" s="75"/>
      <c r="R105" s="75"/>
      <c r="S105" s="75"/>
      <c r="T105" s="75"/>
    </row>
    <row r="106" customFormat="false" ht="12.75" hidden="false" customHeight="false" outlineLevel="0" collapsed="false">
      <c r="H106" s="75" t="s">
        <v>103</v>
      </c>
      <c r="I106" s="76" t="n">
        <f aca="false">I78</f>
        <v>157.5</v>
      </c>
      <c r="J106" s="76" t="n">
        <f aca="false">I79</f>
        <v>160.5</v>
      </c>
      <c r="K106" s="76" t="n">
        <f aca="false">I80</f>
        <v>163.5</v>
      </c>
      <c r="L106" s="76" t="n">
        <f aca="false">I81</f>
        <v>166.5</v>
      </c>
      <c r="M106" s="76" t="n">
        <f aca="false">I82</f>
        <v>169.5</v>
      </c>
      <c r="N106" s="76" t="n">
        <f aca="false">I83</f>
        <v>172.5</v>
      </c>
      <c r="O106" s="76" t="n">
        <f aca="false">I84</f>
        <v>175.5</v>
      </c>
      <c r="P106" s="76" t="n">
        <f aca="false">I85</f>
        <v>178.5</v>
      </c>
      <c r="Q106" s="91"/>
      <c r="R106" s="75"/>
      <c r="S106" s="75"/>
      <c r="T106" s="75"/>
    </row>
    <row r="107" customFormat="false" ht="12.75" hidden="false" customHeight="false" outlineLevel="0" collapsed="false">
      <c r="H107" s="75" t="s">
        <v>93</v>
      </c>
      <c r="I107" s="85" t="n">
        <f aca="false">R78</f>
        <v>0.04</v>
      </c>
      <c r="J107" s="85" t="n">
        <f aca="false">R79</f>
        <v>0.03</v>
      </c>
      <c r="K107" s="85" t="n">
        <f aca="false">R80</f>
        <v>0.13</v>
      </c>
      <c r="L107" s="85" t="n">
        <f aca="false">R81</f>
        <v>0.21</v>
      </c>
      <c r="M107" s="85" t="n">
        <f aca="false">R82</f>
        <v>0.2</v>
      </c>
      <c r="N107" s="85" t="n">
        <f aca="false">R83</f>
        <v>0.2</v>
      </c>
      <c r="O107" s="85" t="n">
        <f aca="false">R84</f>
        <v>0.1</v>
      </c>
      <c r="P107" s="85" t="n">
        <f aca="false">R85</f>
        <v>0.06</v>
      </c>
      <c r="Q107" s="91"/>
      <c r="R107" s="75"/>
      <c r="S107" s="75"/>
      <c r="T107" s="75"/>
    </row>
    <row r="108" customFormat="false" ht="12.75" hidden="false" customHeight="false" outlineLevel="0" collapsed="false">
      <c r="H108" s="75"/>
      <c r="I108" s="91" t="n">
        <f aca="false">I106*I107</f>
        <v>6.3</v>
      </c>
      <c r="J108" s="91" t="n">
        <f aca="false">J106*J107</f>
        <v>4.815</v>
      </c>
      <c r="K108" s="91" t="n">
        <f aca="false">K106*K107</f>
        <v>21.255</v>
      </c>
      <c r="L108" s="91" t="n">
        <f aca="false">L106*L107</f>
        <v>34.965</v>
      </c>
      <c r="M108" s="91" t="n">
        <f aca="false">M106*M107</f>
        <v>33.9</v>
      </c>
      <c r="N108" s="91" t="n">
        <f aca="false">N106*N107</f>
        <v>34.5</v>
      </c>
      <c r="O108" s="91" t="n">
        <f aca="false">O106*O107</f>
        <v>17.55</v>
      </c>
      <c r="P108" s="91" t="n">
        <f aca="false">P106*P107</f>
        <v>10.71</v>
      </c>
      <c r="Q108" s="85" t="n">
        <f aca="false">SUM(I108:P108)</f>
        <v>163.995</v>
      </c>
      <c r="R108" s="75" t="s">
        <v>104</v>
      </c>
      <c r="S108" s="75"/>
      <c r="T108" s="75"/>
    </row>
    <row r="109" customFormat="false" ht="12.75" hidden="false" customHeight="false" outlineLevel="0" collapsed="false">
      <c r="H109" s="75"/>
      <c r="I109" s="91" t="n">
        <f aca="false">I108*I106</f>
        <v>992.25</v>
      </c>
      <c r="J109" s="91" t="n">
        <f aca="false">J108*J106</f>
        <v>772.8075</v>
      </c>
      <c r="K109" s="91" t="n">
        <f aca="false">K108*K106</f>
        <v>3475.1925</v>
      </c>
      <c r="L109" s="91" t="n">
        <f aca="false">L108*L106</f>
        <v>5821.6725</v>
      </c>
      <c r="M109" s="91" t="n">
        <f aca="false">M108*M106</f>
        <v>5746.05</v>
      </c>
      <c r="N109" s="91" t="n">
        <f aca="false">N108*N106</f>
        <v>5951.25</v>
      </c>
      <c r="O109" s="91" t="n">
        <f aca="false">O108*O106</f>
        <v>3080.025</v>
      </c>
      <c r="P109" s="91" t="n">
        <f aca="false">P108*P106</f>
        <v>1911.735</v>
      </c>
      <c r="Q109" s="91" t="n">
        <f aca="false">SUM(I109:P109)</f>
        <v>27750.9825</v>
      </c>
      <c r="R109" s="75" t="s">
        <v>105</v>
      </c>
      <c r="S109" s="75"/>
      <c r="T109" s="75"/>
    </row>
    <row r="110" customFormat="false" ht="12.75" hidden="false" customHeight="false" outlineLevel="0" collapsed="false">
      <c r="H110" s="75"/>
      <c r="I110" s="91"/>
      <c r="J110" s="91"/>
      <c r="K110" s="91"/>
      <c r="L110" s="91"/>
      <c r="M110" s="91"/>
      <c r="N110" s="91"/>
      <c r="O110" s="91"/>
      <c r="P110" s="91"/>
      <c r="Q110" s="91" t="n">
        <f aca="false">-Q108*Q108+Q109</f>
        <v>856.622475</v>
      </c>
      <c r="R110" s="75" t="s">
        <v>106</v>
      </c>
      <c r="S110" s="75"/>
      <c r="T110" s="75"/>
    </row>
    <row r="111" customFormat="false" ht="12.75" hidden="false" customHeight="false" outlineLevel="0" collapsed="false">
      <c r="H111" s="75"/>
      <c r="I111" s="91"/>
      <c r="J111" s="91"/>
      <c r="K111" s="91"/>
      <c r="L111" s="91"/>
      <c r="M111" s="91"/>
      <c r="N111" s="91"/>
      <c r="O111" s="91"/>
      <c r="P111" s="91"/>
      <c r="Q111" s="77" t="n">
        <f aca="false">Q110^0.5</f>
        <v>29.2681136221657</v>
      </c>
      <c r="R111" s="75" t="s">
        <v>107</v>
      </c>
      <c r="S111" s="75"/>
      <c r="T111" s="75"/>
    </row>
    <row r="112" customFormat="false" ht="12.75" hidden="false" customHeight="false" outlineLevel="0" collapsed="false"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</row>
    <row r="113" customFormat="false" ht="12.75" hidden="false" customHeight="false" outlineLevel="0" collapsed="false"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</row>
    <row r="114" customFormat="false" ht="12.75" hidden="false" customHeight="false" outlineLevel="0" collapsed="false"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</row>
    <row r="115" customFormat="false" ht="12.75" hidden="false" customHeight="false" outlineLevel="0" collapsed="false"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</row>
    <row r="116" customFormat="false" ht="12.75" hidden="false" customHeight="false" outlineLevel="0" collapsed="false"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</row>
    <row r="117" customFormat="false" ht="12.75" hidden="false" customHeight="false" outlineLevel="0" collapsed="false"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</row>
    <row r="118" customFormat="false" ht="12.75" hidden="false" customHeight="false" outlineLevel="0" collapsed="false">
      <c r="H118" s="75"/>
      <c r="I118" s="75" t="s">
        <v>108</v>
      </c>
      <c r="J118" s="75"/>
      <c r="K118" s="78" t="n">
        <f aca="false">8/65</f>
        <v>0.123076923076923</v>
      </c>
      <c r="L118" s="75" t="n">
        <f aca="false">1/13</f>
        <v>0.0769230769230769</v>
      </c>
      <c r="M118" s="75"/>
      <c r="N118" s="75"/>
      <c r="O118" s="75"/>
      <c r="P118" s="75"/>
      <c r="Q118" s="75"/>
      <c r="R118" s="75"/>
      <c r="S118" s="75"/>
      <c r="T118" s="75"/>
    </row>
    <row r="119" customFormat="false" ht="12.75" hidden="false" customHeight="false" outlineLevel="0" collapsed="false">
      <c r="H119" s="75" t="s">
        <v>0</v>
      </c>
      <c r="I119" s="75" t="n">
        <v>0</v>
      </c>
      <c r="J119" s="75" t="n">
        <v>1</v>
      </c>
      <c r="K119" s="75" t="n">
        <v>2</v>
      </c>
      <c r="L119" s="75" t="n">
        <v>3</v>
      </c>
      <c r="M119" s="75"/>
      <c r="N119" s="75"/>
      <c r="O119" s="75"/>
      <c r="P119" s="75"/>
      <c r="Q119" s="75"/>
      <c r="R119" s="75"/>
      <c r="S119" s="75"/>
      <c r="T119" s="75"/>
    </row>
    <row r="120" customFormat="false" ht="12.75" hidden="false" customHeight="false" outlineLevel="0" collapsed="false">
      <c r="H120" s="75" t="s">
        <v>93</v>
      </c>
      <c r="I120" s="77" t="n">
        <f aca="false">COMBIN(7,0)*COMBIN(8,3)/COMBIN(15,3)</f>
        <v>0.123076923076923</v>
      </c>
      <c r="J120" s="77" t="n">
        <f aca="false">COMBIN(7,1)*COMBIN(8,2)/COMBIN(15,3)</f>
        <v>0.430769230769231</v>
      </c>
      <c r="K120" s="77" t="n">
        <f aca="false">COMBIN(7,2)*COMBIN(8,1)/COMBIN(15,3)</f>
        <v>0.369230769230769</v>
      </c>
      <c r="L120" s="77" t="n">
        <f aca="false">COMBIN(7,3)*COMBIN(8,0)/COMBIN(15,3)</f>
        <v>0.0769230769230769</v>
      </c>
      <c r="M120" s="75"/>
      <c r="N120" s="75" t="n">
        <f aca="false">SUM(I120:M120)</f>
        <v>1</v>
      </c>
      <c r="O120" s="75"/>
      <c r="P120" s="75"/>
      <c r="Q120" s="75"/>
      <c r="R120" s="75"/>
      <c r="S120" s="75"/>
      <c r="T120" s="75"/>
    </row>
    <row r="121" customFormat="false" ht="12.75" hidden="false" customHeight="false" outlineLevel="0" collapsed="false">
      <c r="H121" s="75"/>
      <c r="I121" s="77" t="n">
        <f aca="false">I120*I119</f>
        <v>0</v>
      </c>
      <c r="J121" s="77" t="n">
        <f aca="false">J120*J119</f>
        <v>0.430769230769231</v>
      </c>
      <c r="K121" s="77" t="n">
        <f aca="false">K120*K119</f>
        <v>0.738461538461538</v>
      </c>
      <c r="L121" s="77" t="n">
        <f aca="false">L120*L119</f>
        <v>0.230769230769231</v>
      </c>
      <c r="M121" s="75"/>
      <c r="N121" s="75" t="n">
        <f aca="false">SUM(I121:M121)</f>
        <v>1.4</v>
      </c>
      <c r="O121" s="75" t="s">
        <v>109</v>
      </c>
      <c r="P121" s="75"/>
      <c r="Q121" s="75"/>
      <c r="R121" s="75"/>
      <c r="S121" s="75"/>
      <c r="T121" s="75"/>
    </row>
    <row r="122" customFormat="false" ht="12.75" hidden="false" customHeight="false" outlineLevel="0" collapsed="false">
      <c r="H122" s="75"/>
      <c r="I122" s="77" t="n">
        <f aca="false">I121*I119</f>
        <v>0</v>
      </c>
      <c r="J122" s="77" t="n">
        <f aca="false">J121*J119</f>
        <v>0.430769230769231</v>
      </c>
      <c r="K122" s="77" t="n">
        <f aca="false">K121*K119</f>
        <v>1.47692307692308</v>
      </c>
      <c r="L122" s="77" t="n">
        <f aca="false">L121*L119</f>
        <v>0.692307692307692</v>
      </c>
      <c r="M122" s="75"/>
      <c r="N122" s="75" t="n">
        <f aca="false">SUM(I122:M122)</f>
        <v>2.6</v>
      </c>
      <c r="O122" s="75" t="s">
        <v>110</v>
      </c>
      <c r="P122" s="75"/>
      <c r="Q122" s="75"/>
      <c r="R122" s="75"/>
      <c r="S122" s="75"/>
      <c r="T122" s="75"/>
    </row>
    <row r="123" customFormat="false" ht="12.75" hidden="false" customHeight="false" outlineLevel="0" collapsed="false">
      <c r="H123" s="75"/>
      <c r="I123" s="75"/>
      <c r="J123" s="75"/>
      <c r="K123" s="78"/>
      <c r="L123" s="75"/>
      <c r="M123" s="75"/>
      <c r="N123" s="75" t="n">
        <f aca="false">N122-N121*N121</f>
        <v>0.64</v>
      </c>
      <c r="O123" s="75" t="s">
        <v>111</v>
      </c>
      <c r="P123" s="75"/>
      <c r="Q123" s="75"/>
      <c r="R123" s="75"/>
      <c r="S123" s="75"/>
      <c r="T123" s="75"/>
    </row>
    <row r="124" customFormat="false" ht="12.75" hidden="false" customHeight="false" outlineLevel="0" collapsed="false">
      <c r="H124" s="75"/>
      <c r="I124" s="75" t="n">
        <f aca="false">I120*(I119-$N$121)^2</f>
        <v>0.241230769230769</v>
      </c>
      <c r="J124" s="75" t="n">
        <f aca="false">J120*(J119-$N$121)^2</f>
        <v>0.0689230769230769</v>
      </c>
      <c r="K124" s="75" t="n">
        <f aca="false">K120*(K119-$N$121)^2</f>
        <v>0.132923076923077</v>
      </c>
      <c r="L124" s="75" t="n">
        <f aca="false">L120*(L119-$N$121)^2</f>
        <v>0.196923076923077</v>
      </c>
      <c r="M124" s="75"/>
      <c r="N124" s="75" t="n">
        <f aca="false">SUM(I124:M124)</f>
        <v>0.64</v>
      </c>
      <c r="O124" s="75"/>
      <c r="P124" s="75"/>
      <c r="Q124" s="75"/>
      <c r="R124" s="75"/>
      <c r="S124" s="75"/>
      <c r="T124" s="75"/>
    </row>
    <row r="125" customFormat="false" ht="12.75" hidden="false" customHeight="false" outlineLevel="0" collapsed="false">
      <c r="H125" s="75" t="s">
        <v>112</v>
      </c>
      <c r="I125" s="77" t="n">
        <f aca="false">I120</f>
        <v>0.123076923076923</v>
      </c>
      <c r="J125" s="77" t="n">
        <f aca="false">I125+J120</f>
        <v>0.553846153846154</v>
      </c>
      <c r="K125" s="77" t="n">
        <f aca="false">J125+K120</f>
        <v>0.923076923076923</v>
      </c>
      <c r="L125" s="77" t="n">
        <f aca="false">K125+L120</f>
        <v>1</v>
      </c>
      <c r="M125" s="75"/>
      <c r="N125" s="75"/>
      <c r="O125" s="75"/>
      <c r="P125" s="75"/>
      <c r="Q125" s="75"/>
      <c r="R125" s="75"/>
      <c r="S125" s="75"/>
      <c r="T125" s="75"/>
    </row>
    <row r="126" customFormat="false" ht="12.75" hidden="false" customHeight="false" outlineLevel="0" collapsed="false"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</row>
    <row r="127" customFormat="false" ht="12.75" hidden="false" customHeight="false" outlineLevel="0" collapsed="false"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</row>
    <row r="128" customFormat="false" ht="12.75" hidden="false" customHeight="false" outlineLevel="0" collapsed="false"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</row>
    <row r="129" customFormat="false" ht="12.75" hidden="false" customHeight="false" outlineLevel="0" collapsed="false"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</row>
    <row r="130" customFormat="false" ht="12.75" hidden="false" customHeight="false" outlineLevel="0" collapsed="false"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</row>
    <row r="131" customFormat="false" ht="12.75" hidden="false" customHeight="false" outlineLevel="0" collapsed="false"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</row>
    <row r="132" customFormat="false" ht="12.75" hidden="false" customHeight="false" outlineLevel="0" collapsed="false"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</row>
    <row r="133" customFormat="false" ht="12.75" hidden="false" customHeight="false" outlineLevel="0" collapsed="false"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</row>
    <row r="134" customFormat="false" ht="12.75" hidden="false" customHeight="false" outlineLevel="0" collapsed="false"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</row>
    <row r="135" customFormat="false" ht="12.75" hidden="false" customHeight="false" outlineLevel="0" collapsed="false"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</row>
    <row r="136" customFormat="false" ht="12.75" hidden="false" customHeight="false" outlineLevel="0" collapsed="false"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</row>
    <row r="137" customFormat="false" ht="12.75" hidden="false" customHeight="false" outlineLevel="0" collapsed="false"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</row>
    <row r="138" customFormat="false" ht="12.75" hidden="false" customHeight="false" outlineLevel="0" collapsed="false"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</row>
    <row r="139" customFormat="false" ht="12.75" hidden="false" customHeight="false" outlineLevel="0" collapsed="false"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</row>
    <row r="140" customFormat="false" ht="12.75" hidden="false" customHeight="false" outlineLevel="0" collapsed="false"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</row>
    <row r="141" customFormat="false" ht="12.75" hidden="false" customHeight="false" outlineLevel="0" collapsed="false"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</row>
    <row r="142" customFormat="false" ht="12.75" hidden="false" customHeight="false" outlineLevel="0" collapsed="false"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</row>
    <row r="143" customFormat="false" ht="12.75" hidden="false" customHeight="false" outlineLevel="0" collapsed="false"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</row>
    <row r="144" customFormat="false" ht="12.75" hidden="false" customHeight="false" outlineLevel="0" collapsed="false"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</row>
    <row r="145" customFormat="false" ht="12.75" hidden="false" customHeight="false" outlineLevel="0" collapsed="false"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</row>
  </sheetData>
  <printOptions headings="false" gridLines="true" gridLinesSet="true" horizontalCentered="false" verticalCentered="false"/>
  <pageMargins left="0.39375" right="0.39375" top="0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078125" defaultRowHeight="12.75" customHeight="false" zeroHeight="false" outlineLevelRow="0" outlineLevelCol="0"/>
  <cols>
    <col collapsed="false" customWidth="true" hidden="false" outlineLevel="0" max="1025" min="1" style="0" width="9"/>
  </cols>
  <sheetData/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2007-10-14T19:29:48Z</dcterms:created>
  <dc:creator>Заручевская Галина</dc:creator>
  <dc:description/>
  <dc:language>en-US</dc:language>
  <cp:lastModifiedBy/>
  <cp:lastPrinted>2026-05-27T22:55:22Z</cp:lastPrinted>
  <dcterms:modified xsi:type="dcterms:W3CDTF">2026-05-28T00:48:41Z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